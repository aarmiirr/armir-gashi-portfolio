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CV\armir-portfolio-upload\projects\excel-contact-manager\"/>
    </mc:Choice>
  </mc:AlternateContent>
  <xr:revisionPtr revIDLastSave="0" documentId="13_ncr:1_{1CBEC9E6-FCC1-4D8B-A604-D4A44AB61E9D}" xr6:coauthVersionLast="47" xr6:coauthVersionMax="47" xr10:uidLastSave="{00000000-0000-0000-0000-000000000000}"/>
  <bookViews>
    <workbookView xWindow="-120" yWindow="-120" windowWidth="29040" windowHeight="16440" xr2:uid="{5A55D98E-E174-482E-9845-794EFA670BAC}"/>
  </bookViews>
  <sheets>
    <sheet name="Contacts" sheetId="1" r:id="rId1"/>
    <sheet name="Dashboard" sheetId="2" r:id="rId2"/>
  </sheets>
  <definedNames>
    <definedName name="_xlnm._FilterDatabase" localSheetId="0" hidden="1">Contacts!$A$1:$J$1</definedName>
    <definedName name="_xlnm._FilterDatabase" localSheetId="1" hidden="1">Dashboard!$A$9:$F$13</definedName>
    <definedName name="AllContacts">Contacts!$A$2:INDEX(Contacts!$A:$A,COUNTA(Contacts!$A:$A))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8" i="1" l="1"/>
  <c r="N7" i="1"/>
  <c r="N6" i="1"/>
  <c r="N4" i="1"/>
  <c r="N5" i="1"/>
  <c r="B20" i="2"/>
  <c r="B19" i="2"/>
  <c r="B18" i="2"/>
  <c r="B17" i="2"/>
  <c r="C10" i="2"/>
  <c r="C11" i="2"/>
  <c r="C12" i="2"/>
  <c r="C13" i="2"/>
  <c r="C9" i="2"/>
  <c r="H2" i="1"/>
  <c r="I2" i="1" s="1"/>
  <c r="B3" i="2"/>
  <c r="H10" i="1"/>
  <c r="I10" i="1" s="1"/>
  <c r="G21" i="1"/>
  <c r="G31" i="1"/>
  <c r="G14" i="1"/>
  <c r="G5" i="1"/>
  <c r="G24" i="1"/>
  <c r="G12" i="1"/>
  <c r="G29" i="1"/>
  <c r="G8" i="1"/>
  <c r="G22" i="1"/>
  <c r="G18" i="1"/>
  <c r="G27" i="1"/>
  <c r="G3" i="1"/>
  <c r="G11" i="1"/>
  <c r="G2" i="1"/>
  <c r="G19" i="1"/>
  <c r="G15" i="1"/>
  <c r="G25" i="1"/>
  <c r="G7" i="1"/>
  <c r="G28" i="1"/>
  <c r="G13" i="1"/>
  <c r="G23" i="1"/>
  <c r="G6" i="1"/>
  <c r="G17" i="1"/>
  <c r="G26" i="1"/>
  <c r="G9" i="1"/>
  <c r="G20" i="1"/>
  <c r="G30" i="1"/>
  <c r="G16" i="1"/>
  <c r="G4" i="1"/>
  <c r="N9" i="1" s="1"/>
  <c r="H4" i="1"/>
  <c r="I4" i="1" s="1"/>
  <c r="H21" i="1"/>
  <c r="I21" i="1" s="1"/>
  <c r="H31" i="1"/>
  <c r="I31" i="1" s="1"/>
  <c r="H14" i="1"/>
  <c r="I14" i="1" s="1"/>
  <c r="H5" i="1"/>
  <c r="I5" i="1" s="1"/>
  <c r="H24" i="1"/>
  <c r="I24" i="1" s="1"/>
  <c r="H12" i="1"/>
  <c r="I12" i="1" s="1"/>
  <c r="H29" i="1"/>
  <c r="I29" i="1" s="1"/>
  <c r="H8" i="1"/>
  <c r="I8" i="1" s="1"/>
  <c r="H22" i="1"/>
  <c r="I22" i="1" s="1"/>
  <c r="H18" i="1"/>
  <c r="I18" i="1" s="1"/>
  <c r="H27" i="1"/>
  <c r="I27" i="1" s="1"/>
  <c r="H3" i="1"/>
  <c r="I3" i="1" s="1"/>
  <c r="H11" i="1"/>
  <c r="I11" i="1" s="1"/>
  <c r="H19" i="1"/>
  <c r="I19" i="1" s="1"/>
  <c r="H15" i="1"/>
  <c r="I15" i="1" s="1"/>
  <c r="H25" i="1"/>
  <c r="I25" i="1" s="1"/>
  <c r="H7" i="1"/>
  <c r="I7" i="1" s="1"/>
  <c r="H28" i="1"/>
  <c r="I28" i="1" s="1"/>
  <c r="H13" i="1"/>
  <c r="I13" i="1" s="1"/>
  <c r="H23" i="1"/>
  <c r="I23" i="1" s="1"/>
  <c r="H6" i="1"/>
  <c r="I6" i="1" s="1"/>
  <c r="H17" i="1"/>
  <c r="I17" i="1" s="1"/>
  <c r="H26" i="1"/>
  <c r="I26" i="1" s="1"/>
  <c r="H9" i="1"/>
  <c r="I9" i="1" s="1"/>
  <c r="H20" i="1"/>
  <c r="I20" i="1" s="1"/>
  <c r="H30" i="1"/>
  <c r="I30" i="1" s="1"/>
  <c r="H16" i="1"/>
  <c r="I16" i="1" s="1"/>
  <c r="G10" i="1"/>
  <c r="D5" i="2" l="1"/>
  <c r="F5" i="2"/>
  <c r="B5" i="2"/>
  <c r="D3" i="2"/>
  <c r="F3" i="2"/>
</calcChain>
</file>

<file path=xl/sharedStrings.xml><?xml version="1.0" encoding="utf-8"?>
<sst xmlns="http://schemas.openxmlformats.org/spreadsheetml/2006/main" count="210" uniqueCount="154">
  <si>
    <t>Contact Name</t>
  </si>
  <si>
    <t>Phone Number</t>
  </si>
  <si>
    <t>Email</t>
  </si>
  <si>
    <t>Birthday</t>
  </si>
  <si>
    <t>Category</t>
  </si>
  <si>
    <t>Last Contact Date</t>
  </si>
  <si>
    <t>Days Since Last Contact</t>
  </si>
  <si>
    <t>Days Until Birthday</t>
  </si>
  <si>
    <t>Birthday Status</t>
  </si>
  <si>
    <t>Notes</t>
  </si>
  <si>
    <t>John Smith</t>
  </si>
  <si>
    <t>(555) 123-4567</t>
  </si>
  <si>
    <t>john.smith@email.com</t>
  </si>
  <si>
    <t>Friend</t>
  </si>
  <si>
    <t>Sarah Johnson</t>
  </si>
  <si>
    <t>(555) 234-5678</t>
  </si>
  <si>
    <t>sarah.j@email.com</t>
  </si>
  <si>
    <t>Family</t>
  </si>
  <si>
    <t>College friend, works in tech</t>
  </si>
  <si>
    <t>Sister, lives in New York</t>
  </si>
  <si>
    <t>Michael Chen</t>
  </si>
  <si>
    <t>(555) 345-6789</t>
  </si>
  <si>
    <t>m.chen@email.com</t>
  </si>
  <si>
    <t>Work</t>
  </si>
  <si>
    <t>Colleague, project manager</t>
  </si>
  <si>
    <t>Gym buddy, personal trainer</t>
  </si>
  <si>
    <t>Emily Davis</t>
  </si>
  <si>
    <t>(555) 456-7890</t>
  </si>
  <si>
    <t>David Martinez</t>
  </si>
  <si>
    <t>Lisa Anderson</t>
  </si>
  <si>
    <t>James Wilson</t>
  </si>
  <si>
    <t>Jennifer Brown</t>
  </si>
  <si>
    <t>Robert Taylor</t>
  </si>
  <si>
    <t>Amanda White</t>
  </si>
  <si>
    <t>Christopher Lee</t>
  </si>
  <si>
    <t>Jessica Garcia</t>
  </si>
  <si>
    <t>Daniel Harris</t>
  </si>
  <si>
    <t>Michelle Clark</t>
  </si>
  <si>
    <t>Matthew Rodriguez</t>
  </si>
  <si>
    <t>Ashley Lewis</t>
  </si>
  <si>
    <t>Joshua Walker</t>
  </si>
  <si>
    <t>Nicole Hall</t>
  </si>
  <si>
    <t>Kevin Allen</t>
  </si>
  <si>
    <t>Stephanie Young</t>
  </si>
  <si>
    <t>Brian King</t>
  </si>
  <si>
    <t>Rachel Wright</t>
  </si>
  <si>
    <t>Steven Lopez</t>
  </si>
  <si>
    <t>Laura Hill</t>
  </si>
  <si>
    <t>Andrew Scott</t>
  </si>
  <si>
    <t>Megan Green</t>
  </si>
  <si>
    <t>Patrick Adams</t>
  </si>
  <si>
    <t>Karen Baker</t>
  </si>
  <si>
    <t>Gregory Nelson</t>
  </si>
  <si>
    <t>Heather Carter</t>
  </si>
  <si>
    <t>(555) 567-8901</t>
  </si>
  <si>
    <t>(555) 678-9012</t>
  </si>
  <si>
    <t>(555) 789-0123</t>
  </si>
  <si>
    <t>(555) 890-1234</t>
  </si>
  <si>
    <t>(555) 901-2345</t>
  </si>
  <si>
    <t>(555) 012-3456</t>
  </si>
  <si>
    <t>(555) 123-4568</t>
  </si>
  <si>
    <t>(555) 234-5679</t>
  </si>
  <si>
    <t>(555) 345-6780</t>
  </si>
  <si>
    <t>(555) 456-7891</t>
  </si>
  <si>
    <t>(555) 567-8902</t>
  </si>
  <si>
    <t>(555) 678-9013</t>
  </si>
  <si>
    <t>(555) 789-0124</t>
  </si>
  <si>
    <t>(555) 890-1235</t>
  </si>
  <si>
    <t>(555) 901-2346</t>
  </si>
  <si>
    <t>(555) 012-3457</t>
  </si>
  <si>
    <t>(555) 123-4569</t>
  </si>
  <si>
    <t>(555) 234-5680</t>
  </si>
  <si>
    <t>(555) 345-6781</t>
  </si>
  <si>
    <t>(555) 456-7892</t>
  </si>
  <si>
    <t>(555) 567-8903</t>
  </si>
  <si>
    <t>(555) 678-9014</t>
  </si>
  <si>
    <t>(555) 789-0125</t>
  </si>
  <si>
    <t>(555) 890-1236</t>
  </si>
  <si>
    <t>(555) 901-2347</t>
  </si>
  <si>
    <t>(555) 012-3458</t>
  </si>
  <si>
    <t>emily.davis@email.com</t>
  </si>
  <si>
    <t>d.martinez@email.com</t>
  </si>
  <si>
    <t>lisa.a@email.com</t>
  </si>
  <si>
    <t>james.w@email.com</t>
  </si>
  <si>
    <t>j.brown@email.com</t>
  </si>
  <si>
    <t>r.taylor@email.com</t>
  </si>
  <si>
    <t>amanda.w@email.com</t>
  </si>
  <si>
    <t>chris.lee@email.com</t>
  </si>
  <si>
    <t>jessica.g@email.com</t>
  </si>
  <si>
    <t>d.harris@email.com</t>
  </si>
  <si>
    <t>michelle.c@email.com</t>
  </si>
  <si>
    <t>matt.r@email.com</t>
  </si>
  <si>
    <t>ashley.l@email.com</t>
  </si>
  <si>
    <t>josh.w@email.com</t>
  </si>
  <si>
    <t>nicole.h@email.com</t>
  </si>
  <si>
    <t>kevin.a@email.com</t>
  </si>
  <si>
    <t>steph.y@email.com</t>
  </si>
  <si>
    <t>brian.k@email.com</t>
  </si>
  <si>
    <t>rachel.w@email.com</t>
  </si>
  <si>
    <t>steven.l@email.com</t>
  </si>
  <si>
    <t>laura.h@email.com</t>
  </si>
  <si>
    <t>andrew.s@email.com</t>
  </si>
  <si>
    <t>megan.g@email.com</t>
  </si>
  <si>
    <t>patrick.a@email.com</t>
  </si>
  <si>
    <t>karen.b@email.com</t>
  </si>
  <si>
    <t>greg.n@email.com</t>
  </si>
  <si>
    <t>heather.c@email.com</t>
  </si>
  <si>
    <t>Client</t>
  </si>
  <si>
    <t>Marketing client, big account</t>
  </si>
  <si>
    <t>Cousin, teacher</t>
  </si>
  <si>
    <t>High school friend</t>
  </si>
  <si>
    <t>HR manager</t>
  </si>
  <si>
    <t>Sales lead, quarterly review</t>
  </si>
  <si>
    <t>Neighbor, loves hiking</t>
  </si>
  <si>
    <t>Team lead, software engineer</t>
  </si>
  <si>
    <t>Aunt, retired nurse</t>
  </si>
  <si>
    <t>College roommate</t>
  </si>
  <si>
    <t>Design consultant</t>
  </si>
  <si>
    <t>Account manager</t>
  </si>
  <si>
    <t>Yoga instructor</t>
  </si>
  <si>
    <t>Brother, lawyer</t>
  </si>
  <si>
    <t>Event planner</t>
  </si>
  <si>
    <t>Running partner</t>
  </si>
  <si>
    <t>UX designer</t>
  </si>
  <si>
    <t>Real estate investor</t>
  </si>
  <si>
    <t>Book club friend</t>
  </si>
  <si>
    <t>Uncle, mechanic</t>
  </si>
  <si>
    <t>Finance director</t>
  </si>
  <si>
    <t>Travel buddy</t>
  </si>
  <si>
    <t>Photography client</t>
  </si>
  <si>
    <t>IT support</t>
  </si>
  <si>
    <t>Mother-in-law</t>
  </si>
  <si>
    <t>Childhood friend</t>
  </si>
  <si>
    <t>Marketing director</t>
  </si>
  <si>
    <t>Contact Database Dashboard</t>
  </si>
  <si>
    <t>Total Contacts</t>
  </si>
  <si>
    <t>Birthdays Today</t>
  </si>
  <si>
    <t>Birthdays This Week</t>
  </si>
  <si>
    <t>Birthdays This Month</t>
  </si>
  <si>
    <t>Need Follow-up (30+ days)</t>
  </si>
  <si>
    <t>Urgent Follow-up (90+ days)</t>
  </si>
  <si>
    <t xml:space="preserve"> UPCOMING BIRTHDAYS</t>
  </si>
  <si>
    <t>Days Until</t>
  </si>
  <si>
    <t>Phone</t>
  </si>
  <si>
    <t>CONTACTS BY CATEGORY</t>
  </si>
  <si>
    <t xml:space="preserve"> Count</t>
  </si>
  <si>
    <t>Quick Contact Lookup</t>
  </si>
  <si>
    <t>Search Name:</t>
  </si>
  <si>
    <t>Phone:</t>
  </si>
  <si>
    <t>Email:</t>
  </si>
  <si>
    <t>Birthday:</t>
  </si>
  <si>
    <t>Category:</t>
  </si>
  <si>
    <t>Last Contact:</t>
  </si>
  <si>
    <t>Days Since Contact: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</si>
</sst>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14" fontId="1" fillId="2" borderId="1" xfId="0" applyNumberFormat="1" applyFon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2" fontId="0" fillId="5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4" fontId="0" fillId="5" borderId="1" xfId="0" applyNumberFormat="1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</cellXfs>
  <cellStyles count="1">
    <cellStyle name="Normal" xfId="0" builtinId="0"/>
  </cellStyles>
  <dxfs count="12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Contacts</a:t>
            </a:r>
            <a:r>
              <a:rPr lang="en-US" baseline="0"/>
              <a:t>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501-4A68-AEDD-1AF0EB8237E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501-4A68-AEDD-1AF0EB8237E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501-4A68-AEDD-1AF0EB8237E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501-4A68-AEDD-1AF0EB8237E2}"/>
              </c:ext>
            </c:extLst>
          </c:dPt>
          <c:cat>
            <c:strRef>
              <c:f>Dashboard!$A$17:$A$20</c:f>
              <c:strCache>
                <c:ptCount val="4"/>
                <c:pt idx="0">
                  <c:v>Family</c:v>
                </c:pt>
                <c:pt idx="1">
                  <c:v>Friend</c:v>
                </c:pt>
                <c:pt idx="2">
                  <c:v>Work</c:v>
                </c:pt>
                <c:pt idx="3">
                  <c:v>Client</c:v>
                </c:pt>
              </c:strCache>
            </c:strRef>
          </c:cat>
          <c:val>
            <c:numRef>
              <c:f>Dashboard!$B$17:$B$20</c:f>
              <c:numCache>
                <c:formatCode>General</c:formatCode>
                <c:ptCount val="4"/>
                <c:pt idx="0">
                  <c:v>7</c:v>
                </c:pt>
                <c:pt idx="1">
                  <c:v>10</c:v>
                </c:pt>
                <c:pt idx="2">
                  <c:v>7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AB-43D8-87DC-9B3F8F5F4C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600074</xdr:colOff>
      <xdr:row>7</xdr:row>
      <xdr:rowOff>9525</xdr:rowOff>
    </xdr:from>
    <xdr:to>
      <xdr:col>12</xdr:col>
      <xdr:colOff>19049</xdr:colOff>
      <xdr:row>20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49D985-6EE3-45D4-AB5D-AD5953E7EE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26EF0-573B-486F-885B-77947B780EEB}">
  <dimension ref="A1:N41"/>
  <sheetViews>
    <sheetView tabSelected="1" zoomScale="85" zoomScaleNormal="85" workbookViewId="0">
      <selection activeCell="N16" sqref="N16"/>
    </sheetView>
  </sheetViews>
  <sheetFormatPr defaultRowHeight="15" x14ac:dyDescent="0.25"/>
  <cols>
    <col min="1" max="1" width="20.7109375" style="2" customWidth="1"/>
    <col min="2" max="2" width="15.7109375" style="5" customWidth="1"/>
    <col min="3" max="3" width="25.7109375" style="2" customWidth="1"/>
    <col min="4" max="4" width="12.7109375" style="3" customWidth="1"/>
    <col min="5" max="5" width="10.7109375" style="2" customWidth="1"/>
    <col min="6" max="6" width="17.7109375" style="3" customWidth="1"/>
    <col min="7" max="7" width="21.7109375" style="8" bestFit="1" customWidth="1"/>
    <col min="8" max="8" width="18.140625" style="8" bestFit="1" customWidth="1"/>
    <col min="9" max="9" width="15.7109375" style="2" customWidth="1"/>
    <col min="10" max="10" width="30.7109375" style="2" customWidth="1"/>
    <col min="13" max="13" width="20.85546875" bestFit="1" customWidth="1"/>
    <col min="14" max="14" width="19.140625" bestFit="1" customWidth="1"/>
  </cols>
  <sheetData>
    <row r="1" spans="1:14" x14ac:dyDescent="0.25">
      <c r="A1" s="1" t="s">
        <v>0</v>
      </c>
      <c r="B1" s="4" t="s">
        <v>1</v>
      </c>
      <c r="C1" s="1" t="s">
        <v>2</v>
      </c>
      <c r="D1" s="6" t="s">
        <v>3</v>
      </c>
      <c r="E1" s="1" t="s">
        <v>17</v>
      </c>
      <c r="F1" s="6" t="s">
        <v>5</v>
      </c>
      <c r="G1" s="7" t="s">
        <v>6</v>
      </c>
      <c r="H1" s="7" t="s">
        <v>7</v>
      </c>
      <c r="I1" s="1" t="s">
        <v>8</v>
      </c>
      <c r="J1" s="1" t="s">
        <v>9</v>
      </c>
      <c r="M1" s="2" t="s">
        <v>146</v>
      </c>
      <c r="N1" s="2"/>
    </row>
    <row r="2" spans="1:14" x14ac:dyDescent="0.25">
      <c r="A2" s="2" t="s">
        <v>39</v>
      </c>
      <c r="B2" s="5" t="s">
        <v>65</v>
      </c>
      <c r="C2" s="2" t="s">
        <v>92</v>
      </c>
      <c r="D2" s="3">
        <v>34334</v>
      </c>
      <c r="E2" s="2" t="s">
        <v>13</v>
      </c>
      <c r="F2" s="3">
        <v>45655</v>
      </c>
      <c r="G2" s="8">
        <f t="shared" ref="G2:G31" ca="1" si="0">TODAY()-F2</f>
        <v>367</v>
      </c>
      <c r="H2" s="8">
        <f t="shared" ref="H2:H31" ca="1" si="1">IF(DATE(YEAR(TODAY()),MONTH(D2),DAY(D2))&lt;TODAY(),DATEDIF(TODAY(),DATE(YEAR(TODAY())+1,MONTH(D2),DAY(D2)),"D"),DATEDIF(TODAY(),DATE(YEAR(TODAY()),MONTH(D2),DAY(D2)),"D"))</f>
        <v>0</v>
      </c>
      <c r="I2" s="2" t="str">
        <f t="shared" ref="I2:I31" ca="1" si="2">IF(H2=0,"TODAY!",IF(H2&lt;=7,"This Week",IF(H2&lt;=30,"This Month","")))</f>
        <v>TODAY!</v>
      </c>
      <c r="J2" s="2" t="s">
        <v>119</v>
      </c>
      <c r="M2" s="2"/>
      <c r="N2" s="2"/>
    </row>
    <row r="3" spans="1:14" x14ac:dyDescent="0.25">
      <c r="A3" s="2" t="s">
        <v>37</v>
      </c>
      <c r="B3" s="5" t="s">
        <v>63</v>
      </c>
      <c r="C3" s="2" t="s">
        <v>90</v>
      </c>
      <c r="D3" s="3">
        <v>33605</v>
      </c>
      <c r="E3" s="2" t="s">
        <v>107</v>
      </c>
      <c r="F3" s="3">
        <v>45644</v>
      </c>
      <c r="G3" s="8">
        <f t="shared" ca="1" si="0"/>
        <v>378</v>
      </c>
      <c r="H3" s="8">
        <f t="shared" ca="1" si="1"/>
        <v>2</v>
      </c>
      <c r="I3" s="2" t="str">
        <f t="shared" ca="1" si="2"/>
        <v>This Week</v>
      </c>
      <c r="J3" s="2" t="s">
        <v>117</v>
      </c>
      <c r="M3" s="2" t="s">
        <v>147</v>
      </c>
      <c r="N3" s="2" t="s">
        <v>14</v>
      </c>
    </row>
    <row r="4" spans="1:14" x14ac:dyDescent="0.25">
      <c r="A4" s="2" t="s">
        <v>14</v>
      </c>
      <c r="B4" s="5" t="s">
        <v>15</v>
      </c>
      <c r="C4" s="2" t="s">
        <v>16</v>
      </c>
      <c r="D4" s="3">
        <v>32878</v>
      </c>
      <c r="E4" s="2" t="s">
        <v>17</v>
      </c>
      <c r="F4" s="3">
        <v>46011</v>
      </c>
      <c r="G4" s="8">
        <f t="shared" ca="1" si="0"/>
        <v>11</v>
      </c>
      <c r="H4" s="8">
        <f t="shared" ca="1" si="1"/>
        <v>5</v>
      </c>
      <c r="I4" s="2" t="str">
        <f t="shared" ca="1" si="2"/>
        <v>This Week</v>
      </c>
      <c r="J4" s="2" t="s">
        <v>19</v>
      </c>
      <c r="M4" s="2" t="s">
        <v>148</v>
      </c>
      <c r="N4" s="13" t="str">
        <f>IFERROR(VLOOKUP(N3, A:B, 2, FALSE), "Not Found")</f>
        <v>(555) 234-5678</v>
      </c>
    </row>
    <row r="5" spans="1:14" x14ac:dyDescent="0.25">
      <c r="A5" s="2" t="s">
        <v>29</v>
      </c>
      <c r="B5" s="5" t="s">
        <v>55</v>
      </c>
      <c r="C5" s="2" t="s">
        <v>82</v>
      </c>
      <c r="D5" s="3">
        <v>33246</v>
      </c>
      <c r="E5" s="2" t="s">
        <v>17</v>
      </c>
      <c r="F5" s="3">
        <v>45651</v>
      </c>
      <c r="G5" s="8">
        <f t="shared" ca="1" si="0"/>
        <v>371</v>
      </c>
      <c r="H5" s="8">
        <f t="shared" ca="1" si="1"/>
        <v>8</v>
      </c>
      <c r="I5" s="2" t="str">
        <f t="shared" ca="1" si="2"/>
        <v>This Month</v>
      </c>
      <c r="J5" s="2" t="s">
        <v>109</v>
      </c>
      <c r="M5" s="2" t="s">
        <v>149</v>
      </c>
      <c r="N5" s="14" t="str">
        <f>IFERROR(VLOOKUP(N3,A:C,3,FALSE),"Not Found")</f>
        <v>sarah.j@email.com</v>
      </c>
    </row>
    <row r="6" spans="1:14" x14ac:dyDescent="0.25">
      <c r="A6" s="2" t="s">
        <v>47</v>
      </c>
      <c r="B6" s="5" t="s">
        <v>73</v>
      </c>
      <c r="C6" s="2" t="s">
        <v>100</v>
      </c>
      <c r="D6" s="3">
        <v>33622</v>
      </c>
      <c r="E6" s="2" t="s">
        <v>23</v>
      </c>
      <c r="F6" s="3">
        <v>45629</v>
      </c>
      <c r="G6" s="8">
        <f t="shared" ca="1" si="0"/>
        <v>393</v>
      </c>
      <c r="H6" s="8">
        <f t="shared" ca="1" si="1"/>
        <v>19</v>
      </c>
      <c r="I6" s="2" t="str">
        <f t="shared" ca="1" si="2"/>
        <v>This Month</v>
      </c>
      <c r="J6" s="2" t="s">
        <v>127</v>
      </c>
      <c r="M6" s="2" t="s">
        <v>150</v>
      </c>
      <c r="N6" s="15">
        <f>IFERROR(VLOOKUP(N3, A:D, 4, FALSE), "Not Found")</f>
        <v>32878</v>
      </c>
    </row>
    <row r="7" spans="1:14" x14ac:dyDescent="0.25">
      <c r="A7" s="2" t="s">
        <v>43</v>
      </c>
      <c r="B7" s="5" t="s">
        <v>69</v>
      </c>
      <c r="C7" s="2" t="s">
        <v>96</v>
      </c>
      <c r="D7" s="3">
        <v>34374</v>
      </c>
      <c r="E7" s="2" t="s">
        <v>23</v>
      </c>
      <c r="F7" s="3">
        <v>45282</v>
      </c>
      <c r="G7" s="8">
        <f t="shared" ca="1" si="0"/>
        <v>740</v>
      </c>
      <c r="H7" s="8">
        <f t="shared" ca="1" si="1"/>
        <v>40</v>
      </c>
      <c r="I7" s="2" t="str">
        <f t="shared" ca="1" si="2"/>
        <v/>
      </c>
      <c r="J7" s="2" t="s">
        <v>123</v>
      </c>
      <c r="M7" s="2" t="s">
        <v>151</v>
      </c>
      <c r="N7" s="14" t="str">
        <f>IFERROR(VLOOKUP(N3, A:E, 5, FALSE), "Not Found")</f>
        <v>Family</v>
      </c>
    </row>
    <row r="8" spans="1:14" x14ac:dyDescent="0.25">
      <c r="A8" s="2" t="s">
        <v>33</v>
      </c>
      <c r="B8" s="5" t="s">
        <v>59</v>
      </c>
      <c r="C8" s="2" t="s">
        <v>86</v>
      </c>
      <c r="D8" s="3">
        <v>34379</v>
      </c>
      <c r="E8" s="2" t="s">
        <v>13</v>
      </c>
      <c r="F8" s="3">
        <v>45636</v>
      </c>
      <c r="G8" s="8">
        <f t="shared" ca="1" si="0"/>
        <v>386</v>
      </c>
      <c r="H8" s="8">
        <f t="shared" ca="1" si="1"/>
        <v>45</v>
      </c>
      <c r="I8" s="2" t="str">
        <f t="shared" ca="1" si="2"/>
        <v/>
      </c>
      <c r="J8" s="2" t="s">
        <v>113</v>
      </c>
      <c r="M8" s="2" t="s">
        <v>152</v>
      </c>
      <c r="N8" s="15">
        <f>IFERROR(VLOOKUP(N3, A:F, 6, FALSE), "Not Found")</f>
        <v>46011</v>
      </c>
    </row>
    <row r="9" spans="1:14" x14ac:dyDescent="0.25">
      <c r="A9" s="2" t="s">
        <v>50</v>
      </c>
      <c r="B9" s="5" t="s">
        <v>76</v>
      </c>
      <c r="C9" s="2" t="s">
        <v>103</v>
      </c>
      <c r="D9" s="3">
        <v>31476</v>
      </c>
      <c r="E9" s="2" t="s">
        <v>23</v>
      </c>
      <c r="F9" s="3">
        <v>45986</v>
      </c>
      <c r="G9" s="8">
        <f t="shared" ca="1" si="0"/>
        <v>36</v>
      </c>
      <c r="H9" s="8">
        <f t="shared" ca="1" si="1"/>
        <v>64</v>
      </c>
      <c r="I9" s="2" t="str">
        <f t="shared" ca="1" si="2"/>
        <v/>
      </c>
      <c r="J9" s="2" t="s">
        <v>130</v>
      </c>
      <c r="M9" s="2" t="s">
        <v>153</v>
      </c>
      <c r="N9" s="16">
        <f ca="1">IFERROR(VLOOKUP(N3, A:G, 7, FALSE), "Not Found")</f>
        <v>11</v>
      </c>
    </row>
    <row r="10" spans="1:14" x14ac:dyDescent="0.25">
      <c r="A10" s="2" t="s">
        <v>10</v>
      </c>
      <c r="B10" s="5" t="s">
        <v>11</v>
      </c>
      <c r="C10" s="2" t="s">
        <v>12</v>
      </c>
      <c r="D10" s="3">
        <v>31121</v>
      </c>
      <c r="E10" s="2" t="s">
        <v>13</v>
      </c>
      <c r="F10" s="3">
        <v>45992</v>
      </c>
      <c r="G10" s="8">
        <f t="shared" ca="1" si="0"/>
        <v>30</v>
      </c>
      <c r="H10" s="8">
        <f t="shared" ca="1" si="1"/>
        <v>74</v>
      </c>
      <c r="I10" s="2" t="str">
        <f t="shared" ca="1" si="2"/>
        <v/>
      </c>
      <c r="J10" s="2" t="s">
        <v>18</v>
      </c>
    </row>
    <row r="11" spans="1:14" x14ac:dyDescent="0.25">
      <c r="A11" s="2" t="s">
        <v>38</v>
      </c>
      <c r="B11" s="5" t="s">
        <v>64</v>
      </c>
      <c r="C11" s="2" t="s">
        <v>91</v>
      </c>
      <c r="D11" s="3">
        <v>31856</v>
      </c>
      <c r="E11" s="2" t="s">
        <v>23</v>
      </c>
      <c r="F11" s="3">
        <v>45996</v>
      </c>
      <c r="G11" s="8">
        <f t="shared" ca="1" si="0"/>
        <v>26</v>
      </c>
      <c r="H11" s="8">
        <f t="shared" ca="1" si="1"/>
        <v>79</v>
      </c>
      <c r="I11" s="2" t="str">
        <f t="shared" ca="1" si="2"/>
        <v/>
      </c>
      <c r="J11" s="2" t="s">
        <v>118</v>
      </c>
    </row>
    <row r="12" spans="1:14" x14ac:dyDescent="0.25">
      <c r="A12" s="2" t="s">
        <v>31</v>
      </c>
      <c r="B12" s="5" t="s">
        <v>57</v>
      </c>
      <c r="C12" s="2" t="s">
        <v>84</v>
      </c>
      <c r="D12" s="3">
        <v>34077</v>
      </c>
      <c r="E12" s="2" t="s">
        <v>23</v>
      </c>
      <c r="F12" s="3">
        <v>46006</v>
      </c>
      <c r="G12" s="8">
        <f t="shared" ca="1" si="0"/>
        <v>16</v>
      </c>
      <c r="H12" s="8">
        <f t="shared" ca="1" si="1"/>
        <v>108</v>
      </c>
      <c r="I12" s="2" t="str">
        <f t="shared" ca="1" si="2"/>
        <v/>
      </c>
      <c r="J12" s="2" t="s">
        <v>111</v>
      </c>
    </row>
    <row r="13" spans="1:14" x14ac:dyDescent="0.25">
      <c r="A13" s="2" t="s">
        <v>45</v>
      </c>
      <c r="B13" s="5" t="s">
        <v>71</v>
      </c>
      <c r="C13" s="2" t="s">
        <v>98</v>
      </c>
      <c r="D13" s="3">
        <v>33358</v>
      </c>
      <c r="E13" s="2" t="s">
        <v>13</v>
      </c>
      <c r="F13" s="3">
        <v>45634</v>
      </c>
      <c r="G13" s="8">
        <f t="shared" ca="1" si="0"/>
        <v>388</v>
      </c>
      <c r="H13" s="8">
        <f t="shared" ca="1" si="1"/>
        <v>120</v>
      </c>
      <c r="I13" s="2" t="str">
        <f t="shared" ca="1" si="2"/>
        <v/>
      </c>
      <c r="J13" s="2" t="s">
        <v>125</v>
      </c>
    </row>
    <row r="14" spans="1:14" x14ac:dyDescent="0.25">
      <c r="A14" s="2" t="s">
        <v>28</v>
      </c>
      <c r="B14" s="5" t="s">
        <v>54</v>
      </c>
      <c r="C14" s="2" t="s">
        <v>81</v>
      </c>
      <c r="D14" s="3">
        <v>31907</v>
      </c>
      <c r="E14" s="2" t="s">
        <v>107</v>
      </c>
      <c r="F14" s="3">
        <v>45595</v>
      </c>
      <c r="G14" s="8">
        <f t="shared" ca="1" si="0"/>
        <v>427</v>
      </c>
      <c r="H14" s="8">
        <f t="shared" ca="1" si="1"/>
        <v>130</v>
      </c>
      <c r="I14" s="2" t="str">
        <f t="shared" ca="1" si="2"/>
        <v/>
      </c>
      <c r="J14" s="2" t="s">
        <v>108</v>
      </c>
    </row>
    <row r="15" spans="1:14" x14ac:dyDescent="0.25">
      <c r="A15" s="2" t="s">
        <v>41</v>
      </c>
      <c r="B15" s="5" t="s">
        <v>67</v>
      </c>
      <c r="C15" s="2" t="s">
        <v>94</v>
      </c>
      <c r="D15" s="3">
        <v>33009</v>
      </c>
      <c r="E15" s="2" t="s">
        <v>107</v>
      </c>
      <c r="F15" s="3">
        <v>45638</v>
      </c>
      <c r="G15" s="8">
        <f t="shared" ca="1" si="0"/>
        <v>384</v>
      </c>
      <c r="H15" s="8">
        <f t="shared" ca="1" si="1"/>
        <v>136</v>
      </c>
      <c r="I15" s="2" t="str">
        <f t="shared" ca="1" si="2"/>
        <v/>
      </c>
      <c r="J15" s="2" t="s">
        <v>121</v>
      </c>
    </row>
    <row r="16" spans="1:14" x14ac:dyDescent="0.25">
      <c r="A16" s="2" t="s">
        <v>53</v>
      </c>
      <c r="B16" s="5" t="s">
        <v>79</v>
      </c>
      <c r="C16" s="2" t="s">
        <v>106</v>
      </c>
      <c r="D16" s="3">
        <v>33381</v>
      </c>
      <c r="E16" s="2" t="s">
        <v>107</v>
      </c>
      <c r="F16" s="3">
        <v>45645</v>
      </c>
      <c r="G16" s="8">
        <f t="shared" ca="1" si="0"/>
        <v>377</v>
      </c>
      <c r="H16" s="8">
        <f t="shared" ca="1" si="1"/>
        <v>143</v>
      </c>
      <c r="I16" s="2" t="str">
        <f t="shared" ca="1" si="2"/>
        <v/>
      </c>
      <c r="J16" s="2" t="s">
        <v>133</v>
      </c>
    </row>
    <row r="17" spans="1:10" x14ac:dyDescent="0.25">
      <c r="A17" s="2" t="s">
        <v>48</v>
      </c>
      <c r="B17" s="5" t="s">
        <v>74</v>
      </c>
      <c r="C17" s="2" t="s">
        <v>101</v>
      </c>
      <c r="D17" s="3">
        <v>32671</v>
      </c>
      <c r="E17" s="2" t="s">
        <v>13</v>
      </c>
      <c r="F17" s="3">
        <v>45606</v>
      </c>
      <c r="G17" s="8">
        <f t="shared" ca="1" si="0"/>
        <v>416</v>
      </c>
      <c r="H17" s="8">
        <f t="shared" ca="1" si="1"/>
        <v>163</v>
      </c>
      <c r="I17" s="2" t="str">
        <f t="shared" ca="1" si="2"/>
        <v/>
      </c>
      <c r="J17" s="2" t="s">
        <v>128</v>
      </c>
    </row>
    <row r="18" spans="1:10" x14ac:dyDescent="0.25">
      <c r="A18" s="2" t="s">
        <v>35</v>
      </c>
      <c r="B18" s="5" t="s">
        <v>61</v>
      </c>
      <c r="C18" s="2" t="s">
        <v>88</v>
      </c>
      <c r="D18" s="3">
        <v>33414</v>
      </c>
      <c r="E18" s="2" t="s">
        <v>17</v>
      </c>
      <c r="F18" s="3">
        <v>46015</v>
      </c>
      <c r="G18" s="8">
        <f t="shared" ca="1" si="0"/>
        <v>7</v>
      </c>
      <c r="H18" s="8">
        <f t="shared" ca="1" si="1"/>
        <v>176</v>
      </c>
      <c r="I18" s="2" t="str">
        <f t="shared" ca="1" si="2"/>
        <v/>
      </c>
      <c r="J18" s="2" t="s">
        <v>115</v>
      </c>
    </row>
    <row r="19" spans="1:10" x14ac:dyDescent="0.25">
      <c r="A19" s="2" t="s">
        <v>40</v>
      </c>
      <c r="B19" s="5" t="s">
        <v>66</v>
      </c>
      <c r="C19" s="2" t="s">
        <v>93</v>
      </c>
      <c r="D19" s="3">
        <v>32696</v>
      </c>
      <c r="E19" s="2" t="s">
        <v>17</v>
      </c>
      <c r="F19" s="3">
        <v>45618</v>
      </c>
      <c r="G19" s="8">
        <f t="shared" ca="1" si="0"/>
        <v>404</v>
      </c>
      <c r="H19" s="8">
        <f t="shared" ca="1" si="1"/>
        <v>188</v>
      </c>
      <c r="I19" s="2" t="str">
        <f t="shared" ca="1" si="2"/>
        <v/>
      </c>
      <c r="J19" s="2" t="s">
        <v>120</v>
      </c>
    </row>
    <row r="20" spans="1:10" x14ac:dyDescent="0.25">
      <c r="A20" s="2" t="s">
        <v>51</v>
      </c>
      <c r="B20" s="5" t="s">
        <v>77</v>
      </c>
      <c r="C20" s="2" t="s">
        <v>104</v>
      </c>
      <c r="D20" s="3">
        <v>33071</v>
      </c>
      <c r="E20" s="2" t="s">
        <v>17</v>
      </c>
      <c r="F20" s="3">
        <v>45653</v>
      </c>
      <c r="G20" s="8">
        <f t="shared" ca="1" si="0"/>
        <v>369</v>
      </c>
      <c r="H20" s="8">
        <f t="shared" ca="1" si="1"/>
        <v>198</v>
      </c>
      <c r="I20" s="2" t="str">
        <f t="shared" ca="1" si="2"/>
        <v/>
      </c>
      <c r="J20" s="2" t="s">
        <v>131</v>
      </c>
    </row>
    <row r="21" spans="1:10" x14ac:dyDescent="0.25">
      <c r="A21" s="2" t="s">
        <v>20</v>
      </c>
      <c r="B21" s="5" t="s">
        <v>21</v>
      </c>
      <c r="C21" s="2" t="s">
        <v>22</v>
      </c>
      <c r="D21" s="3">
        <v>32346</v>
      </c>
      <c r="E21" s="2" t="s">
        <v>23</v>
      </c>
      <c r="F21" s="3">
        <v>45976</v>
      </c>
      <c r="G21" s="8">
        <f t="shared" ca="1" si="0"/>
        <v>46</v>
      </c>
      <c r="H21" s="8">
        <f t="shared" ca="1" si="1"/>
        <v>203</v>
      </c>
      <c r="I21" s="2" t="str">
        <f t="shared" ca="1" si="2"/>
        <v/>
      </c>
      <c r="J21" s="2" t="s">
        <v>24</v>
      </c>
    </row>
    <row r="22" spans="1:10" x14ac:dyDescent="0.25">
      <c r="A22" s="2" t="s">
        <v>34</v>
      </c>
      <c r="B22" s="5" t="s">
        <v>60</v>
      </c>
      <c r="C22" s="2" t="s">
        <v>87</v>
      </c>
      <c r="D22" s="3">
        <v>31268</v>
      </c>
      <c r="E22" s="2" t="s">
        <v>23</v>
      </c>
      <c r="F22" s="3">
        <v>45258</v>
      </c>
      <c r="G22" s="8">
        <f t="shared" ca="1" si="0"/>
        <v>764</v>
      </c>
      <c r="H22" s="8">
        <f t="shared" ca="1" si="1"/>
        <v>221</v>
      </c>
      <c r="I22" s="2" t="str">
        <f t="shared" ca="1" si="2"/>
        <v/>
      </c>
      <c r="J22" s="2" t="s">
        <v>114</v>
      </c>
    </row>
    <row r="23" spans="1:10" x14ac:dyDescent="0.25">
      <c r="A23" s="2" t="s">
        <v>46</v>
      </c>
      <c r="B23" s="5" t="s">
        <v>72</v>
      </c>
      <c r="C23" s="2" t="s">
        <v>99</v>
      </c>
      <c r="D23" s="3">
        <v>32376</v>
      </c>
      <c r="E23" s="2" t="s">
        <v>17</v>
      </c>
      <c r="F23" s="3">
        <v>46017</v>
      </c>
      <c r="G23" s="8">
        <f t="shared" ca="1" si="0"/>
        <v>5</v>
      </c>
      <c r="H23" s="8">
        <f t="shared" ca="1" si="1"/>
        <v>233</v>
      </c>
      <c r="I23" s="2" t="str">
        <f t="shared" ca="1" si="2"/>
        <v/>
      </c>
      <c r="J23" s="2" t="s">
        <v>126</v>
      </c>
    </row>
    <row r="24" spans="1:10" x14ac:dyDescent="0.25">
      <c r="A24" s="2" t="s">
        <v>30</v>
      </c>
      <c r="B24" s="5" t="s">
        <v>56</v>
      </c>
      <c r="C24" s="2" t="s">
        <v>83</v>
      </c>
      <c r="D24" s="3">
        <v>32754</v>
      </c>
      <c r="E24" s="2" t="s">
        <v>13</v>
      </c>
      <c r="F24" s="3">
        <v>45597</v>
      </c>
      <c r="G24" s="8">
        <f t="shared" ca="1" si="0"/>
        <v>425</v>
      </c>
      <c r="H24" s="8">
        <f t="shared" ca="1" si="1"/>
        <v>246</v>
      </c>
      <c r="I24" s="2" t="str">
        <f t="shared" ca="1" si="2"/>
        <v/>
      </c>
      <c r="J24" s="2" t="s">
        <v>110</v>
      </c>
    </row>
    <row r="25" spans="1:10" x14ac:dyDescent="0.25">
      <c r="A25" s="2" t="s">
        <v>42</v>
      </c>
      <c r="B25" s="5" t="s">
        <v>68</v>
      </c>
      <c r="C25" s="2" t="s">
        <v>95</v>
      </c>
      <c r="D25" s="3">
        <v>31683</v>
      </c>
      <c r="E25" s="2" t="s">
        <v>13</v>
      </c>
      <c r="F25" s="3">
        <v>45915</v>
      </c>
      <c r="G25" s="8">
        <f t="shared" ca="1" si="0"/>
        <v>107</v>
      </c>
      <c r="H25" s="8">
        <f t="shared" ca="1" si="1"/>
        <v>271</v>
      </c>
      <c r="I25" s="2" t="str">
        <f t="shared" ca="1" si="2"/>
        <v/>
      </c>
      <c r="J25" s="2" t="s">
        <v>122</v>
      </c>
    </row>
    <row r="26" spans="1:10" x14ac:dyDescent="0.25">
      <c r="A26" s="2" t="s">
        <v>49</v>
      </c>
      <c r="B26" s="5" t="s">
        <v>75</v>
      </c>
      <c r="C26" s="2" t="s">
        <v>102</v>
      </c>
      <c r="D26" s="3">
        <v>34250</v>
      </c>
      <c r="E26" s="2" t="s">
        <v>107</v>
      </c>
      <c r="F26" s="3">
        <v>45640</v>
      </c>
      <c r="G26" s="8">
        <f t="shared" ca="1" si="0"/>
        <v>382</v>
      </c>
      <c r="H26" s="8">
        <f t="shared" ca="1" si="1"/>
        <v>281</v>
      </c>
      <c r="I26" s="2" t="str">
        <f t="shared" ca="1" si="2"/>
        <v/>
      </c>
      <c r="J26" s="2" t="s">
        <v>129</v>
      </c>
    </row>
    <row r="27" spans="1:10" x14ac:dyDescent="0.25">
      <c r="A27" s="2" t="s">
        <v>36</v>
      </c>
      <c r="B27" s="5" t="s">
        <v>62</v>
      </c>
      <c r="C27" s="2" t="s">
        <v>89</v>
      </c>
      <c r="D27" s="3">
        <v>32428</v>
      </c>
      <c r="E27" s="2" t="s">
        <v>13</v>
      </c>
      <c r="F27" s="3">
        <v>45570</v>
      </c>
      <c r="G27" s="8">
        <f t="shared" ca="1" si="0"/>
        <v>452</v>
      </c>
      <c r="H27" s="8">
        <f t="shared" ca="1" si="1"/>
        <v>285</v>
      </c>
      <c r="I27" s="2" t="str">
        <f t="shared" ca="1" si="2"/>
        <v/>
      </c>
      <c r="J27" s="2" t="s">
        <v>116</v>
      </c>
    </row>
    <row r="28" spans="1:10" x14ac:dyDescent="0.25">
      <c r="A28" s="2" t="s">
        <v>44</v>
      </c>
      <c r="B28" s="5" t="s">
        <v>70</v>
      </c>
      <c r="C28" s="2" t="s">
        <v>97</v>
      </c>
      <c r="D28" s="3">
        <v>32085</v>
      </c>
      <c r="E28" s="2" t="s">
        <v>107</v>
      </c>
      <c r="F28" s="3">
        <v>45583</v>
      </c>
      <c r="G28" s="8">
        <f t="shared" ca="1" si="0"/>
        <v>439</v>
      </c>
      <c r="H28" s="8">
        <f t="shared" ca="1" si="1"/>
        <v>308</v>
      </c>
      <c r="I28" s="2" t="str">
        <f t="shared" ca="1" si="2"/>
        <v/>
      </c>
      <c r="J28" s="2" t="s">
        <v>124</v>
      </c>
    </row>
    <row r="29" spans="1:10" x14ac:dyDescent="0.25">
      <c r="A29" s="2" t="s">
        <v>32</v>
      </c>
      <c r="B29" s="5" t="s">
        <v>58</v>
      </c>
      <c r="C29" s="2" t="s">
        <v>85</v>
      </c>
      <c r="D29" s="3">
        <v>31743</v>
      </c>
      <c r="E29" s="2" t="s">
        <v>107</v>
      </c>
      <c r="F29" s="3">
        <v>45555</v>
      </c>
      <c r="G29" s="8">
        <f t="shared" ca="1" si="0"/>
        <v>467</v>
      </c>
      <c r="H29" s="8">
        <f t="shared" ca="1" si="1"/>
        <v>331</v>
      </c>
      <c r="I29" s="2" t="str">
        <f t="shared" ca="1" si="2"/>
        <v/>
      </c>
      <c r="J29" s="2" t="s">
        <v>112</v>
      </c>
    </row>
    <row r="30" spans="1:10" x14ac:dyDescent="0.25">
      <c r="A30" s="2" t="s">
        <v>52</v>
      </c>
      <c r="B30" s="5" t="s">
        <v>78</v>
      </c>
      <c r="C30" s="2" t="s">
        <v>105</v>
      </c>
      <c r="D30" s="3">
        <v>32140</v>
      </c>
      <c r="E30" s="2" t="s">
        <v>13</v>
      </c>
      <c r="F30" s="3">
        <v>45654</v>
      </c>
      <c r="G30" s="8">
        <f t="shared" ca="1" si="0"/>
        <v>368</v>
      </c>
      <c r="H30" s="8">
        <f t="shared" ca="1" si="1"/>
        <v>363</v>
      </c>
      <c r="I30" s="2" t="str">
        <f t="shared" ca="1" si="2"/>
        <v/>
      </c>
      <c r="J30" s="2" t="s">
        <v>132</v>
      </c>
    </row>
    <row r="31" spans="1:10" x14ac:dyDescent="0.25">
      <c r="A31" s="2" t="s">
        <v>26</v>
      </c>
      <c r="B31" s="5" t="s">
        <v>27</v>
      </c>
      <c r="C31" s="2" t="s">
        <v>80</v>
      </c>
      <c r="D31" s="3">
        <v>33968</v>
      </c>
      <c r="E31" s="2" t="s">
        <v>13</v>
      </c>
      <c r="F31" s="3">
        <v>46019</v>
      </c>
      <c r="G31" s="8">
        <f t="shared" ca="1" si="0"/>
        <v>3</v>
      </c>
      <c r="H31" s="8">
        <f t="shared" ca="1" si="1"/>
        <v>364</v>
      </c>
      <c r="I31" s="2" t="str">
        <f t="shared" ca="1" si="2"/>
        <v/>
      </c>
      <c r="J31" s="2" t="s">
        <v>25</v>
      </c>
    </row>
    <row r="33" spans="2:2" x14ac:dyDescent="0.25">
      <c r="B33" s="2"/>
    </row>
    <row r="34" spans="2:2" x14ac:dyDescent="0.25">
      <c r="B34" s="2"/>
    </row>
    <row r="35" spans="2:2" x14ac:dyDescent="0.25">
      <c r="B35" s="2"/>
    </row>
    <row r="36" spans="2:2" x14ac:dyDescent="0.25">
      <c r="B36"/>
    </row>
    <row r="37" spans="2:2" x14ac:dyDescent="0.25">
      <c r="B37"/>
    </row>
    <row r="38" spans="2:2" x14ac:dyDescent="0.25">
      <c r="B38"/>
    </row>
    <row r="39" spans="2:2" x14ac:dyDescent="0.25">
      <c r="B39"/>
    </row>
    <row r="40" spans="2:2" x14ac:dyDescent="0.25">
      <c r="B40"/>
    </row>
    <row r="41" spans="2:2" x14ac:dyDescent="0.25">
      <c r="B41"/>
    </row>
  </sheetData>
  <conditionalFormatting sqref="I2:I1048576">
    <cfRule type="cellIs" dxfId="11" priority="9" operator="equal">
      <formula>"TODAY!"</formula>
    </cfRule>
    <cfRule type="cellIs" dxfId="10" priority="8" operator="equal">
      <formula>"This Week"</formula>
    </cfRule>
    <cfRule type="cellIs" dxfId="9" priority="7" operator="equal">
      <formula>"This Month"</formula>
    </cfRule>
  </conditionalFormatting>
  <conditionalFormatting sqref="G2:G1048576">
    <cfRule type="expression" dxfId="8" priority="4">
      <formula>AND($G2&lt;&gt;"",$G2&gt;90)</formula>
    </cfRule>
    <cfRule type="expression" dxfId="7" priority="1">
      <formula>AND($G2&lt;&gt;"",$G2&lt;90)</formula>
    </cfRule>
  </conditionalFormatting>
  <dataValidations count="2">
    <dataValidation type="list" allowBlank="1" showInputMessage="1" showErrorMessage="1" sqref="E1:E1048576" xr:uid="{5F66E11A-5870-45B9-8CF3-59ABA40D1405}">
      <formula1>"Family,Friend,Work,Client"</formula1>
    </dataValidation>
    <dataValidation type="list" allowBlank="1" showInputMessage="1" showErrorMessage="1" sqref="B35 N3" xr:uid="{EBCC0DF8-9CAA-4E9D-8AB3-CC2E5453DEA5}">
      <formula1>AllContacts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56656-A3A7-4096-A5D4-E3E3EF799B7D}">
  <dimension ref="A1:F20"/>
  <sheetViews>
    <sheetView topLeftCell="A7" zoomScaleNormal="100" workbookViewId="0">
      <selection activeCell="C30" sqref="C30"/>
    </sheetView>
  </sheetViews>
  <sheetFormatPr defaultRowHeight="15" x14ac:dyDescent="0.25"/>
  <cols>
    <col min="1" max="1" width="26.140625" style="2" bestFit="1" customWidth="1"/>
    <col min="2" max="2" width="10.7109375" style="2" customWidth="1"/>
    <col min="3" max="3" width="32.140625" style="2" bestFit="1" customWidth="1"/>
    <col min="4" max="4" width="10.7109375" style="2" customWidth="1"/>
    <col min="5" max="5" width="33.85546875" style="2" bestFit="1" customWidth="1"/>
    <col min="6" max="6" width="21.7109375" style="2" bestFit="1" customWidth="1"/>
  </cols>
  <sheetData>
    <row r="1" spans="1:6" ht="23.25" x14ac:dyDescent="0.35">
      <c r="A1" s="12" t="s">
        <v>134</v>
      </c>
      <c r="B1" s="12"/>
      <c r="C1" s="12"/>
      <c r="D1" s="12"/>
      <c r="E1" s="12"/>
      <c r="F1" s="12"/>
    </row>
    <row r="3" spans="1:6" ht="18.75" x14ac:dyDescent="0.3">
      <c r="A3" s="9" t="s">
        <v>135</v>
      </c>
      <c r="B3" s="9">
        <f>COUNTA(Contacts!A:A)-1</f>
        <v>30</v>
      </c>
      <c r="C3" s="9" t="s">
        <v>136</v>
      </c>
      <c r="D3" s="9">
        <f ca="1">COUNTIF(Contacts!I:I,"TODAY!")</f>
        <v>1</v>
      </c>
      <c r="E3" s="9" t="s">
        <v>137</v>
      </c>
      <c r="F3" s="9">
        <f ca="1">COUNTIF(Contacts!I:I,"This Week")</f>
        <v>2</v>
      </c>
    </row>
    <row r="5" spans="1:6" ht="18.75" x14ac:dyDescent="0.3">
      <c r="A5" s="9" t="s">
        <v>138</v>
      </c>
      <c r="B5" s="9">
        <f ca="1">COUNTIF(Contacts!I:I,"This Month")</f>
        <v>2</v>
      </c>
      <c r="C5" s="9" t="s">
        <v>139</v>
      </c>
      <c r="D5" s="9">
        <f ca="1">COUNTIF(Contacts!G:G,"&gt;30")</f>
        <v>23</v>
      </c>
      <c r="E5" s="9" t="s">
        <v>140</v>
      </c>
      <c r="F5" s="9">
        <f ca="1">COUNTIF(Contacts!G:G,"&gt;90")</f>
        <v>21</v>
      </c>
    </row>
    <row r="7" spans="1:6" ht="15.75" x14ac:dyDescent="0.25">
      <c r="A7" s="10" t="s">
        <v>141</v>
      </c>
    </row>
    <row r="8" spans="1:6" ht="15.75" x14ac:dyDescent="0.25">
      <c r="A8" s="11" t="s">
        <v>0</v>
      </c>
      <c r="B8" s="11" t="s">
        <v>3</v>
      </c>
      <c r="C8" s="11" t="s">
        <v>142</v>
      </c>
      <c r="D8" s="11" t="s">
        <v>4</v>
      </c>
      <c r="E8" s="11" t="s">
        <v>143</v>
      </c>
      <c r="F8" s="11" t="s">
        <v>2</v>
      </c>
    </row>
    <row r="9" spans="1:6" x14ac:dyDescent="0.25">
      <c r="A9" s="2" t="s">
        <v>39</v>
      </c>
      <c r="B9" s="3">
        <v>34334</v>
      </c>
      <c r="C9" s="8">
        <f ca="1">IF(DATE(YEAR(TODAY()),MONTH(B9),DAY(B9))&lt;TODAY(),
    DATEDIF(TODAY(),DATE(YEAR(TODAY())+1,MONTH(B9),DAY(B9)),"D"),
    DATEDIF(TODAY(),DATE(YEAR(TODAY()),MONTH(B9),DAY(B9)),"D"))</f>
        <v>0</v>
      </c>
      <c r="D9" s="2" t="s">
        <v>13</v>
      </c>
      <c r="E9" s="5" t="s">
        <v>65</v>
      </c>
      <c r="F9" s="2" t="s">
        <v>92</v>
      </c>
    </row>
    <row r="10" spans="1:6" x14ac:dyDescent="0.25">
      <c r="A10" s="2" t="s">
        <v>37</v>
      </c>
      <c r="B10" s="3">
        <v>33605</v>
      </c>
      <c r="C10" s="8">
        <f t="shared" ref="C10:C13" ca="1" si="0">IF(DATE(YEAR(TODAY()),MONTH(B10),DAY(B10))&lt;TODAY(),
    DATEDIF(TODAY(),DATE(YEAR(TODAY())+1,MONTH(B10),DAY(B10)),"D"),
    DATEDIF(TODAY(),DATE(YEAR(TODAY()),MONTH(B10),DAY(B10)),"D"))</f>
        <v>2</v>
      </c>
      <c r="D10" s="2" t="s">
        <v>107</v>
      </c>
      <c r="E10" s="5" t="s">
        <v>63</v>
      </c>
      <c r="F10" s="2" t="s">
        <v>90</v>
      </c>
    </row>
    <row r="11" spans="1:6" x14ac:dyDescent="0.25">
      <c r="A11" s="2" t="s">
        <v>14</v>
      </c>
      <c r="B11" s="3">
        <v>32878</v>
      </c>
      <c r="C11" s="8">
        <f t="shared" ca="1" si="0"/>
        <v>5</v>
      </c>
      <c r="D11" s="2" t="s">
        <v>17</v>
      </c>
      <c r="E11" s="5" t="s">
        <v>15</v>
      </c>
      <c r="F11" s="2" t="s">
        <v>16</v>
      </c>
    </row>
    <row r="12" spans="1:6" x14ac:dyDescent="0.25">
      <c r="A12" s="2" t="s">
        <v>29</v>
      </c>
      <c r="B12" s="3">
        <v>33246</v>
      </c>
      <c r="C12" s="8">
        <f t="shared" ca="1" si="0"/>
        <v>8</v>
      </c>
      <c r="D12" s="2" t="s">
        <v>17</v>
      </c>
      <c r="E12" s="5" t="s">
        <v>55</v>
      </c>
      <c r="F12" s="2" t="s">
        <v>82</v>
      </c>
    </row>
    <row r="13" spans="1:6" x14ac:dyDescent="0.25">
      <c r="A13" s="2" t="s">
        <v>47</v>
      </c>
      <c r="B13" s="3">
        <v>33622</v>
      </c>
      <c r="C13" s="8">
        <f t="shared" ca="1" si="0"/>
        <v>19</v>
      </c>
      <c r="D13" s="2" t="s">
        <v>23</v>
      </c>
      <c r="E13" s="5" t="s">
        <v>73</v>
      </c>
      <c r="F13" s="2" t="s">
        <v>100</v>
      </c>
    </row>
    <row r="15" spans="1:6" ht="15.75" x14ac:dyDescent="0.25">
      <c r="A15" s="10" t="s">
        <v>144</v>
      </c>
    </row>
    <row r="16" spans="1:6" x14ac:dyDescent="0.25">
      <c r="A16" s="2" t="s">
        <v>4</v>
      </c>
      <c r="B16" s="2" t="s">
        <v>145</v>
      </c>
    </row>
    <row r="17" spans="1:2" x14ac:dyDescent="0.25">
      <c r="A17" s="2" t="s">
        <v>17</v>
      </c>
      <c r="B17" s="2">
        <f>COUNTIF(Contacts!E:E,"Family")</f>
        <v>7</v>
      </c>
    </row>
    <row r="18" spans="1:2" x14ac:dyDescent="0.25">
      <c r="A18" s="2" t="s">
        <v>13</v>
      </c>
      <c r="B18" s="2">
        <f>COUNTIF(Contacts!E:E,"Friend")</f>
        <v>10</v>
      </c>
    </row>
    <row r="19" spans="1:2" x14ac:dyDescent="0.25">
      <c r="A19" s="2" t="s">
        <v>23</v>
      </c>
      <c r="B19" s="2">
        <f>COUNTIF(Contacts!E:E,"Work")</f>
        <v>7</v>
      </c>
    </row>
    <row r="20" spans="1:2" x14ac:dyDescent="0.25">
      <c r="A20" s="2" t="s">
        <v>107</v>
      </c>
      <c r="B20" s="2">
        <f>COUNTIF(Contacts!E:E,"Client")</f>
        <v>7</v>
      </c>
    </row>
  </sheetData>
  <mergeCells count="1">
    <mergeCell ref="A1:F1"/>
  </mergeCells>
  <conditionalFormatting sqref="D3">
    <cfRule type="cellIs" dxfId="6" priority="9" operator="greaterThan">
      <formula>0</formula>
    </cfRule>
  </conditionalFormatting>
  <conditionalFormatting sqref="F3">
    <cfRule type="cellIs" dxfId="5" priority="8" operator="greaterThan">
      <formula>1</formula>
    </cfRule>
  </conditionalFormatting>
  <conditionalFormatting sqref="D5">
    <cfRule type="cellIs" dxfId="4" priority="7" operator="greaterThan">
      <formula>0</formula>
    </cfRule>
  </conditionalFormatting>
  <conditionalFormatting sqref="F5">
    <cfRule type="cellIs" dxfId="3" priority="6" operator="greaterThan">
      <formula>0</formula>
    </cfRule>
  </conditionalFormatting>
  <conditionalFormatting sqref="C9:C1048576">
    <cfRule type="expression" dxfId="2" priority="3">
      <formula>AND($C9&lt;&gt;"",$C9&lt;=3)</formula>
    </cfRule>
    <cfRule type="cellIs" dxfId="1" priority="1" operator="greaterThan">
      <formula>10</formula>
    </cfRule>
    <cfRule type="cellIs" dxfId="0" priority="2" operator="between">
      <formula>4</formula>
      <formula>10</formula>
    </cfRule>
  </conditionalFormatting>
  <dataValidations count="1">
    <dataValidation type="list" allowBlank="1" showInputMessage="1" showErrorMessage="1" sqref="D9:D13" xr:uid="{BC814457-6311-4D95-B415-0F642C8F85F6}">
      <formula1>"Family,Friend,Work,Client"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Contacts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2025-12-30T20:49:29Z</dcterms:created>
  <dcterms:modified xsi:type="dcterms:W3CDTF">2025-12-31T03:22:47Z</dcterms:modified>
</cp:coreProperties>
</file>