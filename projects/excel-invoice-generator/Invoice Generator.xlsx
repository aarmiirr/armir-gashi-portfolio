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V\Excel\"/>
    </mc:Choice>
  </mc:AlternateContent>
  <xr:revisionPtr revIDLastSave="0" documentId="13_ncr:1_{41DF80CC-2733-4739-A67F-7BC8EB702E68}" xr6:coauthVersionLast="47" xr6:coauthVersionMax="47" xr10:uidLastSave="{00000000-0000-0000-0000-000000000000}"/>
  <bookViews>
    <workbookView xWindow="-120" yWindow="-120" windowWidth="29040" windowHeight="16440" activeTab="1" xr2:uid="{7B200B86-CDC5-41EC-B124-EE86B03A64BC}"/>
  </bookViews>
  <sheets>
    <sheet name="Invoice_Template" sheetId="1" r:id="rId1"/>
    <sheet name="Invoice_Lo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2" l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7" i="2"/>
  <c r="H4" i="2"/>
  <c r="E4" i="2"/>
  <c r="B4" i="2"/>
  <c r="H3" i="2"/>
  <c r="B3" i="2"/>
  <c r="F27" i="1"/>
  <c r="E20" i="1"/>
  <c r="F20" i="1" s="1"/>
  <c r="E19" i="1"/>
  <c r="F19" i="1" s="1"/>
  <c r="E18" i="1"/>
  <c r="F18" i="1" s="1"/>
  <c r="E17" i="1"/>
  <c r="F17" i="1" s="1"/>
  <c r="E16" i="1"/>
  <c r="F28" i="1" s="1"/>
  <c r="B10" i="1"/>
  <c r="B11" i="1" s="1"/>
  <c r="F30" i="1" l="1"/>
  <c r="F16" i="1"/>
  <c r="E3" i="2"/>
</calcChain>
</file>

<file path=xl/sharedStrings.xml><?xml version="1.0" encoding="utf-8"?>
<sst xmlns="http://schemas.openxmlformats.org/spreadsheetml/2006/main" count="174" uniqueCount="144">
  <si>
    <t>Tech Solutions Kosova</t>
  </si>
  <si>
    <t>Rruga Nënë Tereza, Nr. 45</t>
  </si>
  <si>
    <t>10000 Prishtinë, Kosovë</t>
  </si>
  <si>
    <t>Tel: +383 44 123 456 | Email: info@techsolutions-ks.com</t>
  </si>
  <si>
    <t>Business ID: 811234567 | VAT: 600123456</t>
  </si>
  <si>
    <t>INVOICE</t>
  </si>
  <si>
    <t>Invoice Number:</t>
  </si>
  <si>
    <t>INV-2025-001</t>
  </si>
  <si>
    <t>Invoice Date:</t>
  </si>
  <si>
    <t>Due Date:</t>
  </si>
  <si>
    <t>Payment Terms:</t>
  </si>
  <si>
    <t>Net 30 Days</t>
  </si>
  <si>
    <t>BILL TO:</t>
  </si>
  <si>
    <t>Client Name:</t>
  </si>
  <si>
    <t>ABC Company SHPK</t>
  </si>
  <si>
    <t>Address:</t>
  </si>
  <si>
    <t>Rruga Dëshmorët e Kombit, Nr. 12</t>
  </si>
  <si>
    <t>City:</t>
  </si>
  <si>
    <t>Prishtinë, 10000</t>
  </si>
  <si>
    <t>Email/Contact:</t>
  </si>
  <si>
    <t>contact@abccompany.com</t>
  </si>
  <si>
    <t>Description</t>
  </si>
  <si>
    <t>Quantity</t>
  </si>
  <si>
    <t>Unit Price (€)</t>
  </si>
  <si>
    <t>VAT %</t>
  </si>
  <si>
    <t>VAT Amount (€)</t>
  </si>
  <si>
    <t>Total (€)</t>
  </si>
  <si>
    <t>Web Design Services</t>
  </si>
  <si>
    <t>Monthly Maintenance</t>
  </si>
  <si>
    <t>Hosting &amp; Domain (Annual)</t>
  </si>
  <si>
    <t>Staff Training</t>
  </si>
  <si>
    <t>Technical Support</t>
  </si>
  <si>
    <t>Subtotal:</t>
  </si>
  <si>
    <t>VAT (18%)</t>
  </si>
  <si>
    <t>TOTAL DUE:</t>
  </si>
  <si>
    <t>PAYMENT INFORMATION:</t>
  </si>
  <si>
    <t>Bank Name:</t>
  </si>
  <si>
    <t>ProCredit Bank Kosova</t>
  </si>
  <si>
    <t>Account Name:</t>
  </si>
  <si>
    <t>Tech Solutions Kosova SHPK</t>
  </si>
  <si>
    <t>Account Number:</t>
  </si>
  <si>
    <t>SWIFT/BIC:</t>
  </si>
  <si>
    <t>MBKOXKPR</t>
  </si>
  <si>
    <t>IBAN:</t>
  </si>
  <si>
    <t>XK05 1212 0123 4567 8901</t>
  </si>
  <si>
    <t>OR</t>
  </si>
  <si>
    <t>Pay cash at our office</t>
  </si>
  <si>
    <t>Address: Rruga Nënë Tereza, Nr. 45, Prishtinë</t>
  </si>
  <si>
    <t>Thank you for your business!</t>
  </si>
  <si>
    <t>For any questions, contact us at +383 44 123 456</t>
  </si>
  <si>
    <t>This invoice is valid without signature</t>
  </si>
  <si>
    <t>INVOICE TRACKING LOG</t>
  </si>
  <si>
    <t>Total Invoices:</t>
  </si>
  <si>
    <t>Total Revenue:</t>
  </si>
  <si>
    <t>Paid:</t>
  </si>
  <si>
    <t>Pending:</t>
  </si>
  <si>
    <t>Overdue:</t>
  </si>
  <si>
    <t>Amount Pending:</t>
  </si>
  <si>
    <t>Invoice #</t>
  </si>
  <si>
    <t>Date</t>
  </si>
  <si>
    <t>Client</t>
  </si>
  <si>
    <t>Subtotal (€)</t>
  </si>
  <si>
    <t>Vat(€)</t>
  </si>
  <si>
    <t>Status</t>
  </si>
  <si>
    <t>Date Paid</t>
  </si>
  <si>
    <t>Notes</t>
  </si>
  <si>
    <t>INV-2025-002</t>
  </si>
  <si>
    <t>INV-2025-003</t>
  </si>
  <si>
    <t>INV-2025-004</t>
  </si>
  <si>
    <t>INV-2025-005</t>
  </si>
  <si>
    <t>INV-2025-006</t>
  </si>
  <si>
    <t>INV-2025-007</t>
  </si>
  <si>
    <t>INV-2025-008</t>
  </si>
  <si>
    <t>INV-2025-009</t>
  </si>
  <si>
    <t>INV-2025-010</t>
  </si>
  <si>
    <t>INV-2025-011</t>
  </si>
  <si>
    <t>INV-2025-012</t>
  </si>
  <si>
    <t>INV-2025-013</t>
  </si>
  <si>
    <t>INV-2025-014</t>
  </si>
  <si>
    <t>INV-2025-015</t>
  </si>
  <si>
    <t>INV-2025-016</t>
  </si>
  <si>
    <t>INV-2025-017</t>
  </si>
  <si>
    <t>INV-2025-018</t>
  </si>
  <si>
    <t>INV-2025-019</t>
  </si>
  <si>
    <t>INV-2025-020</t>
  </si>
  <si>
    <t>15/01/2025</t>
  </si>
  <si>
    <t>20/01/2025</t>
  </si>
  <si>
    <t>25/01/2025</t>
  </si>
  <si>
    <t>30/01/2025</t>
  </si>
  <si>
    <t>15/02/2025</t>
  </si>
  <si>
    <t>20/02/2025</t>
  </si>
  <si>
    <t>25/02/2025</t>
  </si>
  <si>
    <t>15/03/2025</t>
  </si>
  <si>
    <t>20/03/2025</t>
  </si>
  <si>
    <t>25/03/2025</t>
  </si>
  <si>
    <t>ABC Kompania SHPK</t>
  </si>
  <si>
    <t>Retail Store Kosova</t>
  </si>
  <si>
    <t>Tech Startup Prishtina</t>
  </si>
  <si>
    <t>Marketing Agency Kosova</t>
  </si>
  <si>
    <t>Construction Company</t>
  </si>
  <si>
    <t>Hotel Prishtina</t>
  </si>
  <si>
    <t>Restaurant Group</t>
  </si>
  <si>
    <t>Legal Services Kosovo</t>
  </si>
  <si>
    <t>Healthcare Clinic</t>
  </si>
  <si>
    <t>Education Center Prishtina</t>
  </si>
  <si>
    <t>Finance Solutions</t>
  </si>
  <si>
    <t>Insurance Broker</t>
  </si>
  <si>
    <t>Real Estate Agency</t>
  </si>
  <si>
    <t>Consulting Firm Kosovo</t>
  </si>
  <si>
    <t>Manufacturing LLC</t>
  </si>
  <si>
    <t>Distribution Center</t>
  </si>
  <si>
    <t>IT Services Kosova</t>
  </si>
  <si>
    <t>Design Studio Prishtina</t>
  </si>
  <si>
    <t>Transport Company</t>
  </si>
  <si>
    <t>Wholesale Trading</t>
  </si>
  <si>
    <t>Paid</t>
  </si>
  <si>
    <t>Pending</t>
  </si>
  <si>
    <t>Overdue</t>
  </si>
  <si>
    <t>28/01/2025</t>
  </si>
  <si>
    <t>(blank - pending)</t>
  </si>
  <si>
    <t>(blank - overdue)</t>
  </si>
  <si>
    <t>18/04/2025</t>
  </si>
  <si>
    <t>15/04/2025</t>
  </si>
  <si>
    <t>25/04/2025</t>
  </si>
  <si>
    <t>Regular client</t>
  </si>
  <si>
    <t>New customer</t>
  </si>
  <si>
    <t>Follow up needed</t>
  </si>
  <si>
    <t>Rush order completed</t>
  </si>
  <si>
    <t>Large project</t>
  </si>
  <si>
    <t>Payment late - contacted</t>
  </si>
  <si>
    <t>Repeat business</t>
  </si>
  <si>
    <t>Waiting approval</t>
  </si>
  <si>
    <t>Monthly service</t>
  </si>
  <si>
    <t>Contract work</t>
  </si>
  <si>
    <t>Net 15 terms</t>
  </si>
  <si>
    <t>Seasonal order</t>
  </si>
  <si>
    <t>Second notice sent</t>
  </si>
  <si>
    <t>Quarterly billing</t>
  </si>
  <si>
    <t>First invoice</t>
  </si>
  <si>
    <t>Annual contract</t>
  </si>
  <si>
    <t>Referral customer</t>
  </si>
  <si>
    <t>Special discount</t>
  </si>
  <si>
    <t>Final notice sent</t>
  </si>
  <si>
    <t>Long-term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</si>
</sst>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70" formatCode="&quot;$&quot;#,##0.00"/>
    <numFmt numFmtId="172" formatCode="_([$€-2]\ * #,##0.00_);_([$€-2]\ * \(#,##0.00\);_([$€-2]\ 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/>
    </xf>
    <xf numFmtId="9" fontId="0" fillId="0" borderId="0" xfId="0" applyNumberFormat="1" applyAlignment="1">
      <alignment horizontal="left"/>
    </xf>
    <xf numFmtId="0" fontId="0" fillId="0" borderId="1" xfId="0" applyBorder="1" applyAlignment="1">
      <alignment horizontal="right"/>
    </xf>
    <xf numFmtId="170" fontId="3" fillId="0" borderId="1" xfId="1" applyNumberFormat="1" applyFont="1" applyBorder="1" applyAlignment="1">
      <alignment horizontal="left"/>
    </xf>
    <xf numFmtId="170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0" fontId="5" fillId="3" borderId="1" xfId="0" applyNumberFormat="1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0" fillId="0" borderId="0" xfId="0" applyNumberFormat="1" applyAlignment="1">
      <alignment horizontal="left"/>
    </xf>
    <xf numFmtId="0" fontId="8" fillId="5" borderId="0" xfId="0" applyFont="1" applyFill="1" applyAlignment="1">
      <alignment horizontal="center"/>
    </xf>
    <xf numFmtId="0" fontId="4" fillId="0" borderId="0" xfId="0" applyFont="1"/>
    <xf numFmtId="0" fontId="11" fillId="0" borderId="0" xfId="0" applyFont="1"/>
    <xf numFmtId="0" fontId="15" fillId="0" borderId="0" xfId="0" applyFont="1"/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172" fontId="14" fillId="0" borderId="0" xfId="0" applyNumberFormat="1" applyFont="1" applyAlignment="1">
      <alignment horizontal="left"/>
    </xf>
    <xf numFmtId="172" fontId="0" fillId="0" borderId="0" xfId="0" applyNumberFormat="1" applyFont="1" applyAlignment="1">
      <alignment horizontal="left"/>
    </xf>
    <xf numFmtId="172" fontId="2" fillId="5" borderId="1" xfId="0" applyNumberFormat="1" applyFont="1" applyFill="1" applyBorder="1"/>
    <xf numFmtId="172" fontId="0" fillId="0" borderId="0" xfId="0" applyNumberFormat="1"/>
    <xf numFmtId="1" fontId="14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172" fontId="14" fillId="0" borderId="0" xfId="1" applyNumberFormat="1" applyFont="1"/>
    <xf numFmtId="172" fontId="2" fillId="5" borderId="1" xfId="1" applyNumberFormat="1" applyFont="1" applyFill="1" applyBorder="1"/>
    <xf numFmtId="172" fontId="0" fillId="0" borderId="0" xfId="1" applyNumberFormat="1" applyFont="1"/>
    <xf numFmtId="172" fontId="11" fillId="0" borderId="0" xfId="0" applyNumberFormat="1" applyFont="1" applyAlignment="1">
      <alignment horizontal="left"/>
    </xf>
    <xf numFmtId="172" fontId="12" fillId="0" borderId="0" xfId="0" applyNumberFormat="1" applyFont="1" applyAlignment="1">
      <alignment horizontal="left"/>
    </xf>
    <xf numFmtId="14" fontId="2" fillId="5" borderId="1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B33F-B357-44E6-BEB7-8EFBBC8A1113}">
  <dimension ref="A1:F46"/>
  <sheetViews>
    <sheetView topLeftCell="A13" workbookViewId="0">
      <selection activeCell="H22" sqref="H22"/>
    </sheetView>
  </sheetViews>
  <sheetFormatPr defaultRowHeight="15" x14ac:dyDescent="0.25"/>
  <cols>
    <col min="1" max="1" width="30.7109375" style="6" customWidth="1"/>
    <col min="2" max="2" width="16.7109375" style="6" customWidth="1"/>
    <col min="3" max="3" width="12.7109375" style="6" customWidth="1"/>
    <col min="4" max="4" width="14.7109375" style="6" customWidth="1"/>
    <col min="5" max="5" width="15.7109375" style="6" customWidth="1"/>
    <col min="6" max="6" width="12.7109375" style="6" customWidth="1"/>
  </cols>
  <sheetData>
    <row r="1" spans="1:6" ht="23.25" x14ac:dyDescent="0.35">
      <c r="A1" s="3" t="s">
        <v>0</v>
      </c>
      <c r="B1" s="3"/>
      <c r="C1" s="3"/>
      <c r="D1" s="3"/>
      <c r="E1" s="3"/>
      <c r="F1" s="3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x14ac:dyDescent="0.25">
      <c r="A5" s="4" t="s">
        <v>4</v>
      </c>
      <c r="B5" s="4"/>
      <c r="C5" s="4"/>
      <c r="D5" s="4"/>
      <c r="E5" s="4"/>
      <c r="F5" s="4"/>
    </row>
    <row r="6" spans="1:6" x14ac:dyDescent="0.25">
      <c r="A6" s="1"/>
      <c r="B6" s="1"/>
      <c r="C6" s="1"/>
      <c r="D6" s="1"/>
      <c r="E6" s="1"/>
      <c r="F6" s="1"/>
    </row>
    <row r="7" spans="1:6" ht="21" x14ac:dyDescent="0.35">
      <c r="A7" s="5" t="s">
        <v>5</v>
      </c>
      <c r="B7" s="5"/>
      <c r="C7" s="5"/>
      <c r="D7" s="5"/>
      <c r="E7" s="5"/>
      <c r="F7" s="5"/>
    </row>
    <row r="9" spans="1:6" x14ac:dyDescent="0.25">
      <c r="A9" s="6" t="s">
        <v>6</v>
      </c>
      <c r="B9" s="6" t="s">
        <v>7</v>
      </c>
      <c r="D9" s="7" t="s">
        <v>12</v>
      </c>
    </row>
    <row r="10" spans="1:6" x14ac:dyDescent="0.25">
      <c r="A10" s="6" t="s">
        <v>8</v>
      </c>
      <c r="B10" s="8">
        <f ca="1">TODAY()</f>
        <v>46022</v>
      </c>
      <c r="D10" s="6" t="s">
        <v>13</v>
      </c>
      <c r="E10" s="6" t="s">
        <v>14</v>
      </c>
    </row>
    <row r="11" spans="1:6" x14ac:dyDescent="0.25">
      <c r="A11" s="6" t="s">
        <v>9</v>
      </c>
      <c r="B11" s="8">
        <f ca="1">B10+30</f>
        <v>46052</v>
      </c>
      <c r="D11" s="6" t="s">
        <v>15</v>
      </c>
      <c r="E11" s="6" t="s">
        <v>16</v>
      </c>
    </row>
    <row r="12" spans="1:6" x14ac:dyDescent="0.25">
      <c r="A12" s="6" t="s">
        <v>10</v>
      </c>
      <c r="B12" s="6" t="s">
        <v>11</v>
      </c>
      <c r="D12" s="6" t="s">
        <v>17</v>
      </c>
      <c r="E12" s="6" t="s">
        <v>18</v>
      </c>
    </row>
    <row r="13" spans="1:6" x14ac:dyDescent="0.25">
      <c r="D13" s="6" t="s">
        <v>19</v>
      </c>
      <c r="E13" s="6" t="s">
        <v>20</v>
      </c>
    </row>
    <row r="15" spans="1:6" x14ac:dyDescent="0.25">
      <c r="A15" s="9" t="s">
        <v>21</v>
      </c>
      <c r="B15" s="9" t="s">
        <v>22</v>
      </c>
      <c r="C15" s="9" t="s">
        <v>23</v>
      </c>
      <c r="D15" s="9" t="s">
        <v>24</v>
      </c>
      <c r="E15" s="9" t="s">
        <v>25</v>
      </c>
      <c r="F15" s="9" t="s">
        <v>26</v>
      </c>
    </row>
    <row r="16" spans="1:6" x14ac:dyDescent="0.25">
      <c r="A16" s="6" t="s">
        <v>27</v>
      </c>
      <c r="B16" s="6">
        <v>1</v>
      </c>
      <c r="C16" s="6">
        <v>800</v>
      </c>
      <c r="D16" s="10">
        <v>0.18</v>
      </c>
      <c r="E16" s="6">
        <f>(B16*C16)*D16</f>
        <v>144</v>
      </c>
      <c r="F16" s="6">
        <f>(B16*C16)+E16</f>
        <v>944</v>
      </c>
    </row>
    <row r="17" spans="1:6" x14ac:dyDescent="0.25">
      <c r="A17" s="6" t="s">
        <v>28</v>
      </c>
      <c r="B17" s="6">
        <v>3</v>
      </c>
      <c r="C17" s="6">
        <v>150</v>
      </c>
      <c r="D17" s="10">
        <v>0.18</v>
      </c>
      <c r="E17" s="6">
        <f>(B17*C17)*D17</f>
        <v>81</v>
      </c>
      <c r="F17" s="6">
        <f>(B17*C17)+E17</f>
        <v>531</v>
      </c>
    </row>
    <row r="18" spans="1:6" x14ac:dyDescent="0.25">
      <c r="A18" t="s">
        <v>29</v>
      </c>
      <c r="B18" s="6">
        <v>1</v>
      </c>
      <c r="C18" s="6">
        <v>120</v>
      </c>
      <c r="D18" s="10">
        <v>0.18</v>
      </c>
      <c r="E18" s="6">
        <f>(B18*C18)*D18</f>
        <v>21.599999999999998</v>
      </c>
      <c r="F18" s="6">
        <f>(B18*C18)+E18</f>
        <v>141.6</v>
      </c>
    </row>
    <row r="19" spans="1:6" x14ac:dyDescent="0.25">
      <c r="A19" s="6" t="s">
        <v>30</v>
      </c>
      <c r="B19" s="6">
        <v>2</v>
      </c>
      <c r="C19" s="6">
        <v>200</v>
      </c>
      <c r="D19" s="10">
        <v>0.18</v>
      </c>
      <c r="E19" s="6">
        <f>(B19*C19)*D19</f>
        <v>72</v>
      </c>
      <c r="F19" s="6">
        <f>(B19*C19)+E19</f>
        <v>472</v>
      </c>
    </row>
    <row r="20" spans="1:6" x14ac:dyDescent="0.25">
      <c r="A20" t="s">
        <v>31</v>
      </c>
      <c r="B20" s="6">
        <v>5</v>
      </c>
      <c r="C20" s="6">
        <v>50</v>
      </c>
      <c r="D20" s="10">
        <v>0.18</v>
      </c>
      <c r="E20" s="6">
        <f>(B20*C20)*D20</f>
        <v>45</v>
      </c>
      <c r="F20" s="6">
        <f>(B20*C20)+E20</f>
        <v>295</v>
      </c>
    </row>
    <row r="27" spans="1:6" x14ac:dyDescent="0.25">
      <c r="E27" s="11" t="s">
        <v>32</v>
      </c>
      <c r="F27" s="12">
        <f>SUMPRODUCT(B16:B25,C16:C25)</f>
        <v>2020</v>
      </c>
    </row>
    <row r="28" spans="1:6" x14ac:dyDescent="0.25">
      <c r="E28" s="11" t="s">
        <v>33</v>
      </c>
      <c r="F28" s="13">
        <f>SUM(E16:E25)</f>
        <v>363.6</v>
      </c>
    </row>
    <row r="29" spans="1:6" x14ac:dyDescent="0.25">
      <c r="E29" s="14"/>
      <c r="F29" s="14"/>
    </row>
    <row r="30" spans="1:6" ht="18.75" x14ac:dyDescent="0.3">
      <c r="E30" s="15" t="s">
        <v>34</v>
      </c>
      <c r="F30" s="16">
        <f>F27+F28</f>
        <v>2383.6</v>
      </c>
    </row>
    <row r="33" spans="1:6" x14ac:dyDescent="0.25">
      <c r="A33" s="17" t="s">
        <v>35</v>
      </c>
    </row>
    <row r="34" spans="1:6" x14ac:dyDescent="0.25">
      <c r="A34" t="s">
        <v>36</v>
      </c>
      <c r="B34" t="s">
        <v>37</v>
      </c>
    </row>
    <row r="35" spans="1:6" x14ac:dyDescent="0.25">
      <c r="A35" t="s">
        <v>38</v>
      </c>
      <c r="B35" t="s">
        <v>39</v>
      </c>
    </row>
    <row r="36" spans="1:6" x14ac:dyDescent="0.25">
      <c r="A36" t="s">
        <v>40</v>
      </c>
      <c r="B36" s="20">
        <v>1234567890123450</v>
      </c>
      <c r="C36" s="1"/>
    </row>
    <row r="37" spans="1:6" x14ac:dyDescent="0.25">
      <c r="A37" t="s">
        <v>41</v>
      </c>
      <c r="B37" t="s">
        <v>42</v>
      </c>
    </row>
    <row r="38" spans="1:6" x14ac:dyDescent="0.25">
      <c r="A38" t="s">
        <v>43</v>
      </c>
      <c r="B38" t="s">
        <v>44</v>
      </c>
    </row>
    <row r="40" spans="1:6" x14ac:dyDescent="0.25">
      <c r="A40" t="s">
        <v>45</v>
      </c>
    </row>
    <row r="41" spans="1:6" x14ac:dyDescent="0.25">
      <c r="A41" t="s">
        <v>46</v>
      </c>
    </row>
    <row r="42" spans="1:6" x14ac:dyDescent="0.25">
      <c r="A42" t="s">
        <v>47</v>
      </c>
    </row>
    <row r="44" spans="1:6" x14ac:dyDescent="0.25">
      <c r="A44" s="18" t="s">
        <v>48</v>
      </c>
      <c r="B44" s="18"/>
      <c r="C44" s="18"/>
      <c r="D44" s="18"/>
      <c r="E44" s="18"/>
      <c r="F44" s="18"/>
    </row>
    <row r="45" spans="1:6" x14ac:dyDescent="0.25">
      <c r="A45" s="19" t="s">
        <v>49</v>
      </c>
      <c r="B45" s="19"/>
      <c r="C45" s="19"/>
      <c r="D45" s="19"/>
      <c r="E45" s="19"/>
      <c r="F45" s="19"/>
    </row>
    <row r="46" spans="1:6" x14ac:dyDescent="0.25">
      <c r="A46" s="18" t="s">
        <v>50</v>
      </c>
      <c r="B46" s="18"/>
      <c r="C46" s="18"/>
      <c r="D46" s="18"/>
      <c r="E46" s="18"/>
      <c r="F46" s="18"/>
    </row>
  </sheetData>
  <mergeCells count="9">
    <mergeCell ref="A44:F44"/>
    <mergeCell ref="A45:F45"/>
    <mergeCell ref="A46:F46"/>
    <mergeCell ref="A1:F1"/>
    <mergeCell ref="A2:F2"/>
    <mergeCell ref="A3:F3"/>
    <mergeCell ref="A4:F4"/>
    <mergeCell ref="A5:F5"/>
    <mergeCell ref="A7:F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127D-83EA-4321-B949-84AF6F7221EA}">
  <dimension ref="A1:I26"/>
  <sheetViews>
    <sheetView tabSelected="1" workbookViewId="0">
      <selection activeCell="L16" sqref="L16"/>
    </sheetView>
  </sheetViews>
  <sheetFormatPr defaultRowHeight="15" x14ac:dyDescent="0.25"/>
  <cols>
    <col min="1" max="1" width="15.7109375" customWidth="1"/>
    <col min="2" max="2" width="12.7109375" style="8" customWidth="1"/>
    <col min="3" max="3" width="25.7109375" customWidth="1"/>
    <col min="4" max="4" width="15.7109375" style="30" customWidth="1"/>
    <col min="5" max="5" width="12.7109375" style="35" customWidth="1"/>
    <col min="6" max="6" width="12.7109375" style="30" customWidth="1"/>
    <col min="7" max="7" width="15.7109375" customWidth="1"/>
    <col min="8" max="8" width="15.7109375" style="6" customWidth="1"/>
    <col min="9" max="9" width="25.7109375" customWidth="1"/>
  </cols>
  <sheetData>
    <row r="1" spans="1:9" ht="21" x14ac:dyDescent="0.35">
      <c r="A1" s="21" t="s">
        <v>51</v>
      </c>
      <c r="B1" s="21"/>
      <c r="C1" s="21"/>
      <c r="D1" s="21"/>
      <c r="E1" s="21"/>
      <c r="F1" s="21"/>
      <c r="G1" s="21"/>
      <c r="H1" s="21"/>
      <c r="I1" s="21"/>
    </row>
    <row r="3" spans="1:9" ht="15.75" x14ac:dyDescent="0.25">
      <c r="A3" s="22" t="s">
        <v>52</v>
      </c>
      <c r="B3" s="32">
        <f>COUNTA(A7:A100)-1</f>
        <v>19</v>
      </c>
      <c r="D3" s="36" t="s">
        <v>53</v>
      </c>
      <c r="E3" s="33">
        <f>SUM(F7:F100)</f>
        <v>34385.199999999997</v>
      </c>
      <c r="G3" s="23" t="s">
        <v>54</v>
      </c>
      <c r="H3" s="27">
        <f>COUNTIF(G7:G100,"Paid")</f>
        <v>12</v>
      </c>
    </row>
    <row r="4" spans="1:9" x14ac:dyDescent="0.25">
      <c r="A4" s="24" t="s">
        <v>55</v>
      </c>
      <c r="B4" s="31">
        <f>COUNTIF(G7:G100,"Pending")</f>
        <v>5</v>
      </c>
      <c r="D4" s="37" t="s">
        <v>56</v>
      </c>
      <c r="E4" s="33">
        <f>COUNTIF(G7:G100,"Overdue")</f>
        <v>3</v>
      </c>
      <c r="G4" s="24" t="s">
        <v>57</v>
      </c>
      <c r="H4" s="28">
        <f>SUMIF(G7:G100,"Pending",F7:F100)</f>
        <v>8649.4</v>
      </c>
    </row>
    <row r="6" spans="1:9" x14ac:dyDescent="0.25">
      <c r="A6" s="25" t="s">
        <v>58</v>
      </c>
      <c r="B6" s="38" t="s">
        <v>59</v>
      </c>
      <c r="C6" s="25" t="s">
        <v>60</v>
      </c>
      <c r="D6" s="29" t="s">
        <v>61</v>
      </c>
      <c r="E6" s="34" t="s">
        <v>62</v>
      </c>
      <c r="F6" s="29" t="s">
        <v>26</v>
      </c>
      <c r="G6" s="25" t="s">
        <v>63</v>
      </c>
      <c r="H6" s="26" t="s">
        <v>64</v>
      </c>
      <c r="I6" s="25" t="s">
        <v>65</v>
      </c>
    </row>
    <row r="7" spans="1:9" x14ac:dyDescent="0.25">
      <c r="A7" t="s">
        <v>7</v>
      </c>
      <c r="B7" s="8">
        <v>45778</v>
      </c>
      <c r="C7" t="s">
        <v>95</v>
      </c>
      <c r="D7" s="30">
        <v>1270</v>
      </c>
      <c r="E7" s="35">
        <v>228.6</v>
      </c>
      <c r="F7" s="30">
        <f>D7+E7</f>
        <v>1498.6</v>
      </c>
      <c r="G7" t="s">
        <v>115</v>
      </c>
      <c r="H7" s="6" t="s">
        <v>86</v>
      </c>
      <c r="I7" t="s">
        <v>124</v>
      </c>
    </row>
    <row r="8" spans="1:9" x14ac:dyDescent="0.25">
      <c r="A8" t="s">
        <v>66</v>
      </c>
      <c r="B8" s="8">
        <v>45931</v>
      </c>
      <c r="C8" t="s">
        <v>96</v>
      </c>
      <c r="D8" s="30">
        <v>950</v>
      </c>
      <c r="E8" s="35">
        <v>171</v>
      </c>
      <c r="F8" s="30">
        <f t="shared" ref="F8:F25" si="0">D8+E8</f>
        <v>1121</v>
      </c>
      <c r="G8" t="s">
        <v>115</v>
      </c>
      <c r="H8" s="6" t="s">
        <v>118</v>
      </c>
      <c r="I8" t="s">
        <v>125</v>
      </c>
    </row>
    <row r="9" spans="1:9" x14ac:dyDescent="0.25">
      <c r="A9" t="s">
        <v>67</v>
      </c>
      <c r="B9" s="8" t="s">
        <v>85</v>
      </c>
      <c r="C9" t="s">
        <v>97</v>
      </c>
      <c r="D9" s="30">
        <v>1800</v>
      </c>
      <c r="E9" s="35">
        <v>324</v>
      </c>
      <c r="F9" s="30">
        <f t="shared" si="0"/>
        <v>2124</v>
      </c>
      <c r="G9" t="s">
        <v>116</v>
      </c>
      <c r="H9" s="6" t="s">
        <v>119</v>
      </c>
      <c r="I9" t="s">
        <v>126</v>
      </c>
    </row>
    <row r="10" spans="1:9" x14ac:dyDescent="0.25">
      <c r="A10" t="s">
        <v>68</v>
      </c>
      <c r="B10" s="8" t="s">
        <v>86</v>
      </c>
      <c r="C10" t="s">
        <v>98</v>
      </c>
      <c r="D10" s="30">
        <v>450</v>
      </c>
      <c r="E10" s="35">
        <v>81</v>
      </c>
      <c r="F10" s="30">
        <f t="shared" si="0"/>
        <v>531</v>
      </c>
      <c r="G10" t="s">
        <v>115</v>
      </c>
      <c r="H10" s="8">
        <v>45932</v>
      </c>
      <c r="I10" t="s">
        <v>127</v>
      </c>
    </row>
    <row r="11" spans="1:9" x14ac:dyDescent="0.25">
      <c r="A11" t="s">
        <v>69</v>
      </c>
      <c r="B11" s="8" t="s">
        <v>87</v>
      </c>
      <c r="C11" t="s">
        <v>99</v>
      </c>
      <c r="D11" s="30">
        <v>3200</v>
      </c>
      <c r="E11" s="35">
        <v>576</v>
      </c>
      <c r="F11" s="30">
        <f t="shared" si="0"/>
        <v>3776</v>
      </c>
      <c r="G11" t="s">
        <v>115</v>
      </c>
      <c r="H11" s="6" t="s">
        <v>91</v>
      </c>
      <c r="I11" t="s">
        <v>128</v>
      </c>
    </row>
    <row r="12" spans="1:9" x14ac:dyDescent="0.25">
      <c r="A12" t="s">
        <v>70</v>
      </c>
      <c r="B12" s="8" t="s">
        <v>88</v>
      </c>
      <c r="C12" t="s">
        <v>100</v>
      </c>
      <c r="D12" s="30">
        <v>680</v>
      </c>
      <c r="E12" s="35">
        <v>122.4</v>
      </c>
      <c r="F12" s="30">
        <f t="shared" si="0"/>
        <v>802.4</v>
      </c>
      <c r="G12" t="s">
        <v>117</v>
      </c>
      <c r="H12" s="6" t="s">
        <v>120</v>
      </c>
      <c r="I12" t="s">
        <v>129</v>
      </c>
    </row>
    <row r="13" spans="1:9" x14ac:dyDescent="0.25">
      <c r="A13" t="s">
        <v>71</v>
      </c>
      <c r="B13" s="8">
        <v>45779</v>
      </c>
      <c r="C13" t="s">
        <v>101</v>
      </c>
      <c r="D13" s="30">
        <v>1250</v>
      </c>
      <c r="E13" s="35">
        <v>225</v>
      </c>
      <c r="F13" s="30">
        <f t="shared" si="0"/>
        <v>1475</v>
      </c>
      <c r="G13" t="s">
        <v>115</v>
      </c>
      <c r="H13" s="8">
        <v>45780</v>
      </c>
      <c r="I13" t="s">
        <v>130</v>
      </c>
    </row>
    <row r="14" spans="1:9" x14ac:dyDescent="0.25">
      <c r="A14" t="s">
        <v>72</v>
      </c>
      <c r="B14" s="8">
        <v>45932</v>
      </c>
      <c r="C14" t="s">
        <v>102</v>
      </c>
      <c r="D14" s="30">
        <v>2100</v>
      </c>
      <c r="E14" s="35">
        <v>378</v>
      </c>
      <c r="F14" s="30">
        <f t="shared" si="0"/>
        <v>2478</v>
      </c>
      <c r="G14" t="s">
        <v>116</v>
      </c>
      <c r="H14" s="6" t="s">
        <v>119</v>
      </c>
      <c r="I14" t="s">
        <v>131</v>
      </c>
    </row>
    <row r="15" spans="1:9" x14ac:dyDescent="0.25">
      <c r="A15" t="s">
        <v>73</v>
      </c>
      <c r="B15" s="8" t="s">
        <v>89</v>
      </c>
      <c r="C15" t="s">
        <v>103</v>
      </c>
      <c r="D15" s="30">
        <v>890</v>
      </c>
      <c r="E15" s="35">
        <v>160.19999999999999</v>
      </c>
      <c r="F15" s="30">
        <f t="shared" si="0"/>
        <v>1050.2</v>
      </c>
      <c r="G15" t="s">
        <v>115</v>
      </c>
      <c r="H15" s="6" t="s">
        <v>92</v>
      </c>
      <c r="I15" t="s">
        <v>132</v>
      </c>
    </row>
    <row r="16" spans="1:9" x14ac:dyDescent="0.25">
      <c r="A16" t="s">
        <v>74</v>
      </c>
      <c r="B16" s="8" t="s">
        <v>90</v>
      </c>
      <c r="C16" t="s">
        <v>104</v>
      </c>
      <c r="D16" s="30">
        <v>1650</v>
      </c>
      <c r="E16" s="35">
        <v>297</v>
      </c>
      <c r="F16" s="30">
        <f t="shared" si="0"/>
        <v>1947</v>
      </c>
      <c r="G16" t="s">
        <v>115</v>
      </c>
      <c r="H16" s="6" t="s">
        <v>94</v>
      </c>
      <c r="I16" t="s">
        <v>133</v>
      </c>
    </row>
    <row r="17" spans="1:9" x14ac:dyDescent="0.25">
      <c r="A17" t="s">
        <v>75</v>
      </c>
      <c r="B17" s="8" t="s">
        <v>91</v>
      </c>
      <c r="C17" t="s">
        <v>105</v>
      </c>
      <c r="D17" s="30">
        <v>1100</v>
      </c>
      <c r="E17" s="35">
        <v>198</v>
      </c>
      <c r="F17" s="30">
        <f t="shared" si="0"/>
        <v>1298</v>
      </c>
      <c r="G17" t="s">
        <v>116</v>
      </c>
      <c r="H17" s="6" t="s">
        <v>119</v>
      </c>
      <c r="I17" t="s">
        <v>134</v>
      </c>
    </row>
    <row r="18" spans="1:9" x14ac:dyDescent="0.25">
      <c r="A18" t="s">
        <v>76</v>
      </c>
      <c r="B18" s="8">
        <v>45660</v>
      </c>
      <c r="C18" t="s">
        <v>106</v>
      </c>
      <c r="D18" s="30">
        <v>1450</v>
      </c>
      <c r="E18" s="35">
        <v>261</v>
      </c>
      <c r="F18" s="30">
        <f t="shared" si="0"/>
        <v>1711</v>
      </c>
      <c r="G18" t="s">
        <v>115</v>
      </c>
      <c r="H18" s="6" t="s">
        <v>121</v>
      </c>
      <c r="I18" t="s">
        <v>135</v>
      </c>
    </row>
    <row r="19" spans="1:9" x14ac:dyDescent="0.25">
      <c r="A19" t="s">
        <v>77</v>
      </c>
      <c r="B19" s="8">
        <v>45780</v>
      </c>
      <c r="C19" t="s">
        <v>107</v>
      </c>
      <c r="D19" s="30">
        <v>720</v>
      </c>
      <c r="E19" s="35">
        <v>129.6</v>
      </c>
      <c r="F19" s="30">
        <f t="shared" si="0"/>
        <v>849.6</v>
      </c>
      <c r="G19" t="s">
        <v>117</v>
      </c>
      <c r="H19" s="6" t="s">
        <v>120</v>
      </c>
      <c r="I19" t="s">
        <v>136</v>
      </c>
    </row>
    <row r="20" spans="1:9" x14ac:dyDescent="0.25">
      <c r="A20" t="s">
        <v>78</v>
      </c>
      <c r="B20" s="8">
        <v>45933</v>
      </c>
      <c r="C20" t="s">
        <v>108</v>
      </c>
      <c r="D20" s="30">
        <v>2800</v>
      </c>
      <c r="E20" s="35">
        <v>504</v>
      </c>
      <c r="F20" s="30">
        <f t="shared" si="0"/>
        <v>3304</v>
      </c>
      <c r="G20" t="s">
        <v>115</v>
      </c>
      <c r="H20" s="6" t="s">
        <v>122</v>
      </c>
      <c r="I20" t="s">
        <v>137</v>
      </c>
    </row>
    <row r="21" spans="1:9" x14ac:dyDescent="0.25">
      <c r="A21" t="s">
        <v>79</v>
      </c>
      <c r="B21" s="8" t="s">
        <v>92</v>
      </c>
      <c r="C21" t="s">
        <v>109</v>
      </c>
      <c r="D21" s="30">
        <v>950</v>
      </c>
      <c r="E21" s="35">
        <v>171</v>
      </c>
      <c r="F21" s="30">
        <f t="shared" si="0"/>
        <v>1121</v>
      </c>
      <c r="G21" t="s">
        <v>116</v>
      </c>
      <c r="H21" s="6" t="s">
        <v>119</v>
      </c>
      <c r="I21" t="s">
        <v>138</v>
      </c>
    </row>
    <row r="22" spans="1:9" x14ac:dyDescent="0.25">
      <c r="A22" t="s">
        <v>80</v>
      </c>
      <c r="B22" s="8" t="s">
        <v>93</v>
      </c>
      <c r="C22" t="s">
        <v>110</v>
      </c>
      <c r="D22" s="30">
        <v>1900</v>
      </c>
      <c r="E22" s="35">
        <v>342</v>
      </c>
      <c r="F22" s="30">
        <f t="shared" si="0"/>
        <v>2242</v>
      </c>
      <c r="G22" t="s">
        <v>115</v>
      </c>
      <c r="H22" s="6" t="s">
        <v>123</v>
      </c>
      <c r="I22" t="s">
        <v>139</v>
      </c>
    </row>
    <row r="23" spans="1:9" x14ac:dyDescent="0.25">
      <c r="A23" t="s">
        <v>81</v>
      </c>
      <c r="B23" s="8" t="s">
        <v>94</v>
      </c>
      <c r="C23" t="s">
        <v>111</v>
      </c>
      <c r="D23" s="30">
        <v>1050</v>
      </c>
      <c r="E23" s="35">
        <v>189</v>
      </c>
      <c r="F23" s="30">
        <f t="shared" si="0"/>
        <v>1239</v>
      </c>
      <c r="G23" t="s">
        <v>115</v>
      </c>
      <c r="H23" s="8">
        <v>45782</v>
      </c>
      <c r="I23" t="s">
        <v>140</v>
      </c>
    </row>
    <row r="24" spans="1:9" x14ac:dyDescent="0.25">
      <c r="A24" t="s">
        <v>82</v>
      </c>
      <c r="B24" s="8">
        <v>45661</v>
      </c>
      <c r="C24" t="s">
        <v>112</v>
      </c>
      <c r="D24" s="30">
        <v>1380</v>
      </c>
      <c r="E24" s="35">
        <v>248.4</v>
      </c>
      <c r="F24" s="30">
        <f t="shared" si="0"/>
        <v>1628.4</v>
      </c>
      <c r="G24" t="s">
        <v>116</v>
      </c>
      <c r="H24" s="6" t="s">
        <v>119</v>
      </c>
      <c r="I24" t="s">
        <v>141</v>
      </c>
    </row>
    <row r="25" spans="1:9" x14ac:dyDescent="0.25">
      <c r="A25" t="s">
        <v>83</v>
      </c>
      <c r="B25" s="8">
        <v>45781</v>
      </c>
      <c r="C25" t="s">
        <v>113</v>
      </c>
      <c r="D25" s="30">
        <v>1150</v>
      </c>
      <c r="E25" s="35">
        <v>207</v>
      </c>
      <c r="F25" s="30">
        <f t="shared" si="0"/>
        <v>1357</v>
      </c>
      <c r="G25" t="s">
        <v>117</v>
      </c>
      <c r="H25" s="6" t="s">
        <v>120</v>
      </c>
      <c r="I25" t="s">
        <v>142</v>
      </c>
    </row>
    <row r="26" spans="1:9" x14ac:dyDescent="0.25">
      <c r="A26" t="s">
        <v>84</v>
      </c>
      <c r="B26" s="8">
        <v>45934</v>
      </c>
      <c r="C26" t="s">
        <v>114</v>
      </c>
      <c r="D26" s="30">
        <v>2400</v>
      </c>
      <c r="E26" s="35">
        <v>432</v>
      </c>
      <c r="F26" s="30">
        <f>D26+E26</f>
        <v>2832</v>
      </c>
      <c r="G26" t="s">
        <v>115</v>
      </c>
      <c r="H26" s="6" t="s">
        <v>123</v>
      </c>
      <c r="I26" t="s">
        <v>143</v>
      </c>
    </row>
  </sheetData>
  <mergeCells count="1">
    <mergeCell ref="A1:I1"/>
  </mergeCells>
  <conditionalFormatting sqref="G7:G50">
    <cfRule type="cellIs" dxfId="2" priority="1" operator="equal">
      <formula>"Pending"</formula>
    </cfRule>
    <cfRule type="cellIs" dxfId="1" priority="2" operator="equal">
      <formula>"Overdue"</formula>
    </cfRule>
    <cfRule type="cellIs" dxfId="0" priority="3" operator="equal">
      <formula>"Paid"</formula>
    </cfRule>
  </conditionalFormatting>
  <dataValidations count="1">
    <dataValidation type="list" allowBlank="1" showInputMessage="1" showErrorMessage="1" sqref="G7:G50" xr:uid="{70AE7DF2-6B8E-429B-9C80-C2E571A54EA4}">
      <formula1>"Pending,Paid,Overdue,Cancelled"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Invoice_Template</vt:lpstr>
      <vt:lpstr>Invoice_Log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2025-12-31T01:00:33Z</dcterms:created>
  <dcterms:modified xsi:type="dcterms:W3CDTF">2025-12-31T02:17:40Z</dcterms:modified>
</cp:coreProperties>
</file>