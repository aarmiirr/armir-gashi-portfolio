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CV\Excel\"/>
    </mc:Choice>
  </mc:AlternateContent>
  <xr:revisionPtr revIDLastSave="0" documentId="13_ncr:1_{91626190-AB07-4A20-96D9-E761CC08C135}" xr6:coauthVersionLast="47" xr6:coauthVersionMax="47" xr10:uidLastSave="{00000000-0000-0000-0000-000000000000}"/>
  <bookViews>
    <workbookView xWindow="-120" yWindow="-120" windowWidth="29040" windowHeight="16440" activeTab="1" xr2:uid="{72FEB370-61EC-4CB5-BEB9-9180EA4078CA}"/>
  </bookViews>
  <sheets>
    <sheet name="Data" sheetId="1" r:id="rId1"/>
    <sheet name="Dashboard" sheetId="2" r:id="rId2"/>
  </sheets>
  <definedNames>
    <definedName name="Amount">Data!$D:$D</definedName>
    <definedName name="Category">Data!$B:$B</definedName>
    <definedName name="Date">Data!$A:$A</definedName>
    <definedName name="Description">Data!$C:$C</definedName>
    <definedName name="Payment_Method">Data!$E:$E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1" i="2" l="1"/>
  <c r="B40" i="2"/>
  <c r="B39" i="2"/>
  <c r="B38" i="2"/>
  <c r="F17" i="2"/>
  <c r="F16" i="2"/>
  <c r="F15" i="2"/>
  <c r="F14" i="2"/>
  <c r="F13" i="2"/>
  <c r="F12" i="2"/>
  <c r="D17" i="2"/>
  <c r="D16" i="2"/>
  <c r="D15" i="2"/>
  <c r="D14" i="2"/>
  <c r="D13" i="2"/>
  <c r="D12" i="2"/>
  <c r="C17" i="2"/>
  <c r="E17" i="2" s="1"/>
  <c r="C16" i="2"/>
  <c r="E16" i="2" s="1"/>
  <c r="C15" i="2"/>
  <c r="C14" i="2"/>
  <c r="C13" i="2"/>
  <c r="C12" i="2"/>
  <c r="B17" i="2"/>
  <c r="B16" i="2"/>
  <c r="B15" i="2"/>
  <c r="B14" i="2"/>
  <c r="B13" i="2"/>
  <c r="B12" i="2"/>
  <c r="G8" i="2"/>
  <c r="E8" i="2"/>
  <c r="A8" i="2"/>
  <c r="E5" i="2"/>
  <c r="C5" i="2"/>
  <c r="C8" i="2" s="1"/>
  <c r="A5" i="2"/>
  <c r="I7" i="1"/>
  <c r="J7" i="1" s="1"/>
  <c r="K7" i="1" s="1"/>
  <c r="I5" i="1"/>
  <c r="J5" i="1" s="1"/>
  <c r="K5" i="1" s="1"/>
  <c r="G5" i="2" l="1"/>
  <c r="E12" i="2"/>
  <c r="E14" i="2"/>
  <c r="E13" i="2"/>
  <c r="E15" i="2"/>
  <c r="I4" i="1"/>
  <c r="J4" i="1" s="1"/>
  <c r="K4" i="1" s="1"/>
  <c r="I2" i="1"/>
  <c r="J2" i="1" s="1"/>
  <c r="K2" i="1" s="1"/>
  <c r="I3" i="1"/>
  <c r="J3" i="1" s="1"/>
  <c r="K3" i="1" s="1"/>
  <c r="I6" i="1"/>
  <c r="J6" i="1" s="1"/>
  <c r="K6" i="1" s="1"/>
</calcChain>
</file>

<file path=xl/sharedStrings.xml><?xml version="1.0" encoding="utf-8"?>
<sst xmlns="http://schemas.openxmlformats.org/spreadsheetml/2006/main" count="122" uniqueCount="61">
  <si>
    <t>Date</t>
  </si>
  <si>
    <t>Category</t>
  </si>
  <si>
    <t>Description</t>
  </si>
  <si>
    <t>Amount</t>
  </si>
  <si>
    <t>Payment Method</t>
  </si>
  <si>
    <t>Food</t>
  </si>
  <si>
    <t>Transport</t>
  </si>
  <si>
    <t>Entertainment</t>
  </si>
  <si>
    <t>Utilities</t>
  </si>
  <si>
    <t>Grocery shopping</t>
  </si>
  <si>
    <t>Gas station</t>
  </si>
  <si>
    <t>Movie Tickets</t>
  </si>
  <si>
    <t>Restaurant lunch</t>
  </si>
  <si>
    <t>Electric Bill</t>
  </si>
  <si>
    <t>Card</t>
  </si>
  <si>
    <t>Cash</t>
  </si>
  <si>
    <t>Bank Transfer</t>
  </si>
  <si>
    <t>Shopping</t>
  </si>
  <si>
    <t>Other</t>
  </si>
  <si>
    <t>New shoes</t>
  </si>
  <si>
    <t>Coffee shop</t>
  </si>
  <si>
    <t>Uber ride</t>
  </si>
  <si>
    <t>Pharmacy</t>
  </si>
  <si>
    <t>Lunch takeout</t>
  </si>
  <si>
    <t>Concert Tickets</t>
  </si>
  <si>
    <t>Internet bill</t>
  </si>
  <si>
    <t>Breakfast café</t>
  </si>
  <si>
    <t>Electronics</t>
  </si>
  <si>
    <t>Parking fee</t>
  </si>
  <si>
    <t>Streaming subscription</t>
  </si>
  <si>
    <t>Pizza delivery</t>
  </si>
  <si>
    <t>Water bill</t>
  </si>
  <si>
    <t>Clothing</t>
  </si>
  <si>
    <t>Coffee and snacks</t>
  </si>
  <si>
    <t>Bus pass</t>
  </si>
  <si>
    <t>Haircut</t>
  </si>
  <si>
    <t>Gaming subscription</t>
  </si>
  <si>
    <t>Monthly Budget</t>
  </si>
  <si>
    <t>Total Spent</t>
  </si>
  <si>
    <t>Remaining</t>
  </si>
  <si>
    <t>Status</t>
  </si>
  <si>
    <t>Expense Tracker Dashboard</t>
  </si>
  <si>
    <t>2025 Summary</t>
  </si>
  <si>
    <t>Total Budget</t>
  </si>
  <si>
    <t>% Budget Used</t>
  </si>
  <si>
    <t>Total Transactions</t>
  </si>
  <si>
    <t>Average Transactions</t>
  </si>
  <si>
    <t>Over Budget Categories</t>
  </si>
  <si>
    <t>Largest Single Expense</t>
  </si>
  <si>
    <t>Budget Breakdown By Category</t>
  </si>
  <si>
    <t>Budget</t>
  </si>
  <si>
    <t>Spent</t>
  </si>
  <si>
    <t>% Used</t>
  </si>
  <si>
    <t>Visual Breakdown</t>
  </si>
  <si>
    <t>Key Insights</t>
  </si>
  <si>
    <t>* Your top spending category is:</t>
  </si>
  <si>
    <t>* You are currently over the budget by:</t>
  </si>
  <si>
    <t>* You have spent in:</t>
  </si>
  <si>
    <t>Transactions this month</t>
  </si>
  <si>
    <t>You are spending on average:</t>
  </si>
  <si>
    <t>per transaction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</si>
</sst>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6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3" fillId="0" borderId="0" xfId="0" applyFont="1"/>
    <xf numFmtId="164" fontId="0" fillId="0" borderId="0" xfId="0" applyNumberFormat="1"/>
    <xf numFmtId="0" fontId="4" fillId="2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3" fillId="5" borderId="1" xfId="0" applyFont="1" applyFill="1" applyBorder="1" applyAlignment="1">
      <alignment horizontal="center"/>
    </xf>
    <xf numFmtId="164" fontId="6" fillId="6" borderId="1" xfId="0" applyNumberFormat="1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9" fontId="6" fillId="0" borderId="1" xfId="2" applyFont="1" applyBorder="1" applyAlignment="1">
      <alignment horizontal="center"/>
    </xf>
    <xf numFmtId="44" fontId="6" fillId="0" borderId="1" xfId="1" applyFont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1" fontId="6" fillId="0" borderId="1" xfId="0" applyNumberFormat="1" applyFont="1" applyBorder="1" applyAlignment="1">
      <alignment horizontal="center"/>
    </xf>
    <xf numFmtId="0" fontId="7" fillId="7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7" fillId="7" borderId="1" xfId="0" applyFont="1" applyFill="1" applyBorder="1" applyAlignment="1">
      <alignment horizontal="center"/>
    </xf>
    <xf numFmtId="44" fontId="0" fillId="0" borderId="1" xfId="1" applyFont="1" applyBorder="1" applyAlignment="1">
      <alignment horizontal="center"/>
    </xf>
    <xf numFmtId="9" fontId="0" fillId="0" borderId="1" xfId="2" applyFont="1" applyBorder="1" applyAlignment="1">
      <alignment horizontal="center"/>
    </xf>
    <xf numFmtId="164" fontId="2" fillId="0" borderId="0" xfId="1" applyNumberFormat="1" applyFont="1" applyAlignment="1">
      <alignment horizontal="center"/>
    </xf>
    <xf numFmtId="1" fontId="0" fillId="0" borderId="0" xfId="0" applyNumberFormat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32"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 patternType="solid"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lor rgb="FF9C0006"/>
      </font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 patternType="solid"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 patternType="solid">
          <bgColor rgb="FFFF0000"/>
        </patternFill>
      </fill>
    </dxf>
    <dxf>
      <font>
        <color rgb="FF9C0006"/>
      </font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Spending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(Dashboard!$A$12,Dashboard!$A$13,Dashboard!$A$14,Dashboard!$A$15,Dashboard!$A$16,Dashboard!$A$17)</c:f>
              <c:strCache>
                <c:ptCount val="6"/>
                <c:pt idx="0">
                  <c:v>Food</c:v>
                </c:pt>
                <c:pt idx="1">
                  <c:v>Transport</c:v>
                </c:pt>
                <c:pt idx="2">
                  <c:v>Utilities</c:v>
                </c:pt>
                <c:pt idx="3">
                  <c:v>Entertainment</c:v>
                </c:pt>
                <c:pt idx="4">
                  <c:v>Shopping</c:v>
                </c:pt>
                <c:pt idx="5">
                  <c:v>Other</c:v>
                </c:pt>
              </c:strCache>
            </c:strRef>
          </c:cat>
          <c:val>
            <c:numRef>
              <c:f>(Dashboard!$C$12,Dashboard!$C$13,Dashboard!$C$14,Dashboard!$C$15,Dashboard!$C$16,Dashboard!$C$17)</c:f>
              <c:numCache>
                <c:formatCode>_("$"* #,##0.00_);_("$"* \(#,##0.00\);_("$"* "-"??_);_(@_)</c:formatCode>
                <c:ptCount val="6"/>
                <c:pt idx="0">
                  <c:v>307.5</c:v>
                </c:pt>
                <c:pt idx="1">
                  <c:v>185</c:v>
                </c:pt>
                <c:pt idx="2">
                  <c:v>227</c:v>
                </c:pt>
                <c:pt idx="3">
                  <c:v>149.98000000000002</c:v>
                </c:pt>
                <c:pt idx="4">
                  <c:v>331</c:v>
                </c:pt>
                <c:pt idx="5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01-410A-A1AC-74120CAD680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Budget</a:t>
            </a:r>
            <a:r>
              <a:rPr lang="en-US" baseline="0"/>
              <a:t> vs Actual Spending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Budget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Dashboard!$A$12:$A$17</c:f>
              <c:strCache>
                <c:ptCount val="6"/>
                <c:pt idx="0">
                  <c:v>Food</c:v>
                </c:pt>
                <c:pt idx="1">
                  <c:v>Transport</c:v>
                </c:pt>
                <c:pt idx="2">
                  <c:v>Utilities</c:v>
                </c:pt>
                <c:pt idx="3">
                  <c:v>Entertainment</c:v>
                </c:pt>
                <c:pt idx="4">
                  <c:v>Shopping</c:v>
                </c:pt>
                <c:pt idx="5">
                  <c:v>Other</c:v>
                </c:pt>
              </c:strCache>
            </c:strRef>
          </c:cat>
          <c:val>
            <c:numRef>
              <c:f>Dashboard!$B$12:$B$17</c:f>
              <c:numCache>
                <c:formatCode>_("$"* #,##0.00_);_("$"* \(#,##0.00\);_("$"* "-"??_);_(@_)</c:formatCode>
                <c:ptCount val="6"/>
                <c:pt idx="0">
                  <c:v>400</c:v>
                </c:pt>
                <c:pt idx="1">
                  <c:v>200</c:v>
                </c:pt>
                <c:pt idx="2">
                  <c:v>150</c:v>
                </c:pt>
                <c:pt idx="3">
                  <c:v>100</c:v>
                </c:pt>
                <c:pt idx="4">
                  <c:v>300</c:v>
                </c:pt>
                <c:pt idx="5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D2-4F97-A014-178E64402BAC}"/>
            </c:ext>
          </c:extLst>
        </c:ser>
        <c:ser>
          <c:idx val="1"/>
          <c:order val="1"/>
          <c:tx>
            <c:v>Spent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Dashboard!$A$12:$A$17</c:f>
              <c:strCache>
                <c:ptCount val="6"/>
                <c:pt idx="0">
                  <c:v>Food</c:v>
                </c:pt>
                <c:pt idx="1">
                  <c:v>Transport</c:v>
                </c:pt>
                <c:pt idx="2">
                  <c:v>Utilities</c:v>
                </c:pt>
                <c:pt idx="3">
                  <c:v>Entertainment</c:v>
                </c:pt>
                <c:pt idx="4">
                  <c:v>Shopping</c:v>
                </c:pt>
                <c:pt idx="5">
                  <c:v>Other</c:v>
                </c:pt>
              </c:strCache>
            </c:strRef>
          </c:cat>
          <c:val>
            <c:numRef>
              <c:f>Dashboard!$C$12:$C$17</c:f>
              <c:numCache>
                <c:formatCode>_("$"* #,##0.00_);_("$"* \(#,##0.00\);_("$"* "-"??_);_(@_)</c:formatCode>
                <c:ptCount val="6"/>
                <c:pt idx="0">
                  <c:v>307.5</c:v>
                </c:pt>
                <c:pt idx="1">
                  <c:v>185</c:v>
                </c:pt>
                <c:pt idx="2">
                  <c:v>227</c:v>
                </c:pt>
                <c:pt idx="3">
                  <c:v>149.98000000000002</c:v>
                </c:pt>
                <c:pt idx="4">
                  <c:v>331</c:v>
                </c:pt>
                <c:pt idx="5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D2-4F97-A014-178E64402B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7185424"/>
        <c:axId val="1449478976"/>
      </c:barChart>
      <c:catAx>
        <c:axId val="487185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478976"/>
        <c:crosses val="autoZero"/>
        <c:auto val="1"/>
        <c:lblAlgn val="ctr"/>
        <c:lblOffset val="100"/>
        <c:noMultiLvlLbl val="0"/>
      </c:catAx>
      <c:valAx>
        <c:axId val="1449478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7185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200024</xdr:rowOff>
    </xdr:from>
    <xdr:to>
      <xdr:col>3</xdr:col>
      <xdr:colOff>685799</xdr:colOff>
      <xdr:row>33</xdr:row>
      <xdr:rowOff>180974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267E44D-76A8-4030-9FA0-C357769665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14287</xdr:colOff>
      <xdr:row>18</xdr:row>
      <xdr:rowOff>200024</xdr:rowOff>
    </xdr:from>
    <xdr:to>
      <xdr:col>12</xdr:col>
      <xdr:colOff>0</xdr:colOff>
      <xdr:row>33</xdr:row>
      <xdr:rowOff>180974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D6B0226-3D79-4AC9-A4BB-969AA44DBE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4927A-5E52-4DC8-921D-2C2061FA776E}">
  <dimension ref="A1:K26"/>
  <sheetViews>
    <sheetView workbookViewId="0">
      <selection activeCell="K1" sqref="K1:K1048576"/>
    </sheetView>
  </sheetViews>
  <sheetFormatPr defaultRowHeight="15" x14ac:dyDescent="0.25"/>
  <cols>
    <col min="1" max="1" width="10.5703125" style="1" customWidth="1"/>
    <col min="2" max="2" width="14.5703125" style="2" customWidth="1"/>
    <col min="3" max="3" width="21.5703125" style="2" customWidth="1"/>
    <col min="4" max="4" width="10.5703125" style="3" customWidth="1"/>
    <col min="5" max="5" width="17.28515625" style="2" customWidth="1"/>
    <col min="7" max="7" width="14.7109375" style="2" customWidth="1"/>
    <col min="8" max="8" width="17.85546875" style="3" customWidth="1"/>
    <col min="9" max="9" width="11.42578125" customWidth="1"/>
    <col min="10" max="10" width="10.7109375" customWidth="1"/>
    <col min="11" max="11" width="12" customWidth="1"/>
  </cols>
  <sheetData>
    <row r="1" spans="1:11" s="7" customFormat="1" x14ac:dyDescent="0.25">
      <c r="A1" s="4" t="s">
        <v>0</v>
      </c>
      <c r="B1" s="5" t="s">
        <v>6</v>
      </c>
      <c r="C1" s="5" t="s">
        <v>2</v>
      </c>
      <c r="D1" s="6" t="s">
        <v>3</v>
      </c>
      <c r="E1" s="5" t="s">
        <v>4</v>
      </c>
      <c r="G1" s="5" t="s">
        <v>1</v>
      </c>
      <c r="H1" s="6" t="s">
        <v>37</v>
      </c>
      <c r="I1" s="5" t="s">
        <v>38</v>
      </c>
      <c r="J1" s="5" t="s">
        <v>39</v>
      </c>
      <c r="K1" s="5" t="s">
        <v>40</v>
      </c>
    </row>
    <row r="2" spans="1:11" x14ac:dyDescent="0.25">
      <c r="A2" s="1">
        <v>45672</v>
      </c>
      <c r="B2" s="2" t="s">
        <v>5</v>
      </c>
      <c r="C2" s="2" t="s">
        <v>9</v>
      </c>
      <c r="D2" s="3">
        <v>85.5</v>
      </c>
      <c r="E2" s="2" t="s">
        <v>14</v>
      </c>
      <c r="G2" s="2" t="s">
        <v>5</v>
      </c>
      <c r="H2" s="3">
        <v>400</v>
      </c>
      <c r="I2">
        <f>SUMIF($B:$B,"Food",$D:$D)</f>
        <v>307.5</v>
      </c>
      <c r="J2" s="8">
        <f>H2-I2</f>
        <v>92.5</v>
      </c>
      <c r="K2" t="str">
        <f>IF(J2&lt;0,"Over Budget","OK")</f>
        <v>OK</v>
      </c>
    </row>
    <row r="3" spans="1:11" x14ac:dyDescent="0.25">
      <c r="A3" s="1">
        <v>45673</v>
      </c>
      <c r="B3" s="2" t="s">
        <v>6</v>
      </c>
      <c r="C3" s="2" t="s">
        <v>10</v>
      </c>
      <c r="D3" s="3">
        <v>45</v>
      </c>
      <c r="E3" s="2" t="s">
        <v>15</v>
      </c>
      <c r="G3" s="2" t="s">
        <v>6</v>
      </c>
      <c r="H3" s="3">
        <v>200</v>
      </c>
      <c r="I3">
        <f>SUMIF($B:$B,"Transport",$D:$D)</f>
        <v>185</v>
      </c>
      <c r="J3" s="8">
        <f>H3-I3</f>
        <v>15</v>
      </c>
      <c r="K3" t="str">
        <f>IF(J3&lt;0,"Over Budget","OK")</f>
        <v>OK</v>
      </c>
    </row>
    <row r="4" spans="1:11" x14ac:dyDescent="0.25">
      <c r="A4" s="1">
        <v>45673</v>
      </c>
      <c r="B4" s="2" t="s">
        <v>7</v>
      </c>
      <c r="C4" s="2" t="s">
        <v>11</v>
      </c>
      <c r="D4" s="3">
        <v>30</v>
      </c>
      <c r="E4" s="2" t="s">
        <v>14</v>
      </c>
      <c r="G4" s="2" t="s">
        <v>8</v>
      </c>
      <c r="H4" s="3">
        <v>150</v>
      </c>
      <c r="I4">
        <f>SUMIF($B:$B,"Utilities",$D:$D)</f>
        <v>227</v>
      </c>
      <c r="J4" s="8">
        <f>H4-I4</f>
        <v>-77</v>
      </c>
      <c r="K4" t="str">
        <f>IF(J4&lt;0,"Over Budget","OK")</f>
        <v>Over Budget</v>
      </c>
    </row>
    <row r="5" spans="1:11" x14ac:dyDescent="0.25">
      <c r="A5" s="1">
        <v>45674</v>
      </c>
      <c r="B5" s="2" t="s">
        <v>5</v>
      </c>
      <c r="C5" s="2" t="s">
        <v>12</v>
      </c>
      <c r="D5" s="3">
        <v>22.5</v>
      </c>
      <c r="E5" s="2" t="s">
        <v>14</v>
      </c>
      <c r="G5" s="2" t="s">
        <v>7</v>
      </c>
      <c r="H5" s="3">
        <v>100</v>
      </c>
      <c r="I5">
        <f>SUMIF($B:$B,"Entertainment",$D:$D)</f>
        <v>149.98000000000002</v>
      </c>
      <c r="J5" s="8">
        <f>H5-I5</f>
        <v>-49.980000000000018</v>
      </c>
      <c r="K5" t="str">
        <f>IF(J5&lt;0,"Over Budget","OK")</f>
        <v>Over Budget</v>
      </c>
    </row>
    <row r="6" spans="1:11" x14ac:dyDescent="0.25">
      <c r="A6" s="1">
        <v>45675</v>
      </c>
      <c r="B6" s="2" t="s">
        <v>8</v>
      </c>
      <c r="C6" s="2" t="s">
        <v>13</v>
      </c>
      <c r="D6" s="3">
        <v>120</v>
      </c>
      <c r="E6" s="2" t="s">
        <v>16</v>
      </c>
      <c r="G6" s="2" t="s">
        <v>17</v>
      </c>
      <c r="H6" s="3">
        <v>300</v>
      </c>
      <c r="I6">
        <f>SUMIF($B:$B,"Shopping",$D:$D)</f>
        <v>331</v>
      </c>
      <c r="J6" s="8">
        <f>H6-I6</f>
        <v>-31</v>
      </c>
      <c r="K6" t="str">
        <f>IF(J6&lt;0,"Over Budget","OK")</f>
        <v>Over Budget</v>
      </c>
    </row>
    <row r="7" spans="1:11" x14ac:dyDescent="0.25">
      <c r="A7" s="1">
        <v>45703</v>
      </c>
      <c r="B7" s="2" t="s">
        <v>17</v>
      </c>
      <c r="C7" s="2" t="s">
        <v>19</v>
      </c>
      <c r="D7" s="3">
        <v>89</v>
      </c>
      <c r="E7" s="2" t="s">
        <v>14</v>
      </c>
      <c r="G7" s="2" t="s">
        <v>18</v>
      </c>
      <c r="H7" s="3">
        <v>100</v>
      </c>
      <c r="I7">
        <f>SUMIF($B:$B,"Other",$D:$D)</f>
        <v>69</v>
      </c>
      <c r="J7" s="8">
        <f>H7-I7</f>
        <v>31</v>
      </c>
      <c r="K7" t="str">
        <f>IF(J7&lt;0,"Over Budget","OK")</f>
        <v>OK</v>
      </c>
    </row>
    <row r="8" spans="1:11" x14ac:dyDescent="0.25">
      <c r="A8" s="1">
        <v>45704</v>
      </c>
      <c r="B8" s="2" t="s">
        <v>5</v>
      </c>
      <c r="C8" s="2" t="s">
        <v>20</v>
      </c>
      <c r="D8" s="3">
        <v>15.5</v>
      </c>
      <c r="E8" s="2" t="s">
        <v>15</v>
      </c>
    </row>
    <row r="9" spans="1:11" x14ac:dyDescent="0.25">
      <c r="A9" s="1">
        <v>45704</v>
      </c>
      <c r="B9" s="2" t="s">
        <v>6</v>
      </c>
      <c r="C9" s="2" t="s">
        <v>21</v>
      </c>
      <c r="D9" s="3">
        <v>22</v>
      </c>
      <c r="E9" s="2" t="s">
        <v>14</v>
      </c>
    </row>
    <row r="10" spans="1:11" x14ac:dyDescent="0.25">
      <c r="A10" s="1">
        <v>45705</v>
      </c>
      <c r="B10" s="2" t="s">
        <v>18</v>
      </c>
      <c r="C10" s="2" t="s">
        <v>22</v>
      </c>
      <c r="D10" s="3">
        <v>34</v>
      </c>
      <c r="E10" s="2" t="s">
        <v>14</v>
      </c>
    </row>
    <row r="11" spans="1:11" x14ac:dyDescent="0.25">
      <c r="A11" s="1">
        <v>45706</v>
      </c>
      <c r="B11" s="2" t="s">
        <v>5</v>
      </c>
      <c r="C11" s="2" t="s">
        <v>23</v>
      </c>
      <c r="D11" s="3">
        <v>18.5</v>
      </c>
      <c r="E11" s="2" t="s">
        <v>14</v>
      </c>
    </row>
    <row r="12" spans="1:11" x14ac:dyDescent="0.25">
      <c r="A12" s="1">
        <v>45731</v>
      </c>
      <c r="B12" s="2" t="s">
        <v>7</v>
      </c>
      <c r="C12" s="2" t="s">
        <v>24</v>
      </c>
      <c r="D12" s="3">
        <v>95</v>
      </c>
      <c r="E12" s="2" t="s">
        <v>14</v>
      </c>
    </row>
    <row r="13" spans="1:11" x14ac:dyDescent="0.25">
      <c r="A13" s="1">
        <v>45732</v>
      </c>
      <c r="B13" s="2" t="s">
        <v>8</v>
      </c>
      <c r="C13" s="2" t="s">
        <v>25</v>
      </c>
      <c r="D13" s="3">
        <v>65</v>
      </c>
      <c r="E13" s="2" t="s">
        <v>16</v>
      </c>
    </row>
    <row r="14" spans="1:11" x14ac:dyDescent="0.25">
      <c r="A14" s="1">
        <v>45732</v>
      </c>
      <c r="B14" s="2" t="s">
        <v>5</v>
      </c>
      <c r="C14" s="2" t="s">
        <v>26</v>
      </c>
      <c r="D14" s="3">
        <v>12</v>
      </c>
      <c r="E14" s="2" t="s">
        <v>15</v>
      </c>
    </row>
    <row r="15" spans="1:11" x14ac:dyDescent="0.25">
      <c r="A15" s="1">
        <v>45733</v>
      </c>
      <c r="B15" s="2" t="s">
        <v>6</v>
      </c>
      <c r="C15" s="2" t="s">
        <v>10</v>
      </c>
      <c r="D15" s="3">
        <v>48</v>
      </c>
      <c r="E15" s="2" t="s">
        <v>14</v>
      </c>
    </row>
    <row r="16" spans="1:11" x14ac:dyDescent="0.25">
      <c r="A16" s="1">
        <v>45734</v>
      </c>
      <c r="B16" s="2" t="s">
        <v>17</v>
      </c>
      <c r="C16" s="2" t="s">
        <v>27</v>
      </c>
      <c r="D16" s="3">
        <v>175</v>
      </c>
      <c r="E16" s="2" t="s">
        <v>14</v>
      </c>
    </row>
    <row r="17" spans="1:5" x14ac:dyDescent="0.25">
      <c r="A17" s="1">
        <v>45762</v>
      </c>
      <c r="B17" s="2" t="s">
        <v>5</v>
      </c>
      <c r="C17" s="2" t="s">
        <v>9</v>
      </c>
      <c r="D17" s="3">
        <v>98</v>
      </c>
      <c r="E17" s="2" t="s">
        <v>14</v>
      </c>
    </row>
    <row r="18" spans="1:5" x14ac:dyDescent="0.25">
      <c r="A18" s="1">
        <v>45763</v>
      </c>
      <c r="B18" s="2" t="s">
        <v>6</v>
      </c>
      <c r="C18" s="2" t="s">
        <v>28</v>
      </c>
      <c r="D18" s="3">
        <v>15</v>
      </c>
      <c r="E18" s="2" t="s">
        <v>15</v>
      </c>
    </row>
    <row r="19" spans="1:5" x14ac:dyDescent="0.25">
      <c r="A19" s="1">
        <v>45763</v>
      </c>
      <c r="B19" s="2" t="s">
        <v>7</v>
      </c>
      <c r="C19" s="2" t="s">
        <v>29</v>
      </c>
      <c r="D19" s="3">
        <v>14.99</v>
      </c>
      <c r="E19" s="2" t="s">
        <v>14</v>
      </c>
    </row>
    <row r="20" spans="1:5" x14ac:dyDescent="0.25">
      <c r="A20" s="1">
        <v>45764</v>
      </c>
      <c r="B20" s="2" t="s">
        <v>5</v>
      </c>
      <c r="C20" s="2" t="s">
        <v>30</v>
      </c>
      <c r="D20" s="3">
        <v>32</v>
      </c>
      <c r="E20" s="2" t="s">
        <v>14</v>
      </c>
    </row>
    <row r="21" spans="1:5" x14ac:dyDescent="0.25">
      <c r="A21" s="1">
        <v>45795</v>
      </c>
      <c r="B21" s="2" t="s">
        <v>8</v>
      </c>
      <c r="C21" s="2" t="s">
        <v>31</v>
      </c>
      <c r="D21" s="3">
        <v>42</v>
      </c>
      <c r="E21" s="2" t="s">
        <v>16</v>
      </c>
    </row>
    <row r="22" spans="1:5" x14ac:dyDescent="0.25">
      <c r="A22" s="1">
        <v>45792</v>
      </c>
      <c r="B22" s="2" t="s">
        <v>17</v>
      </c>
      <c r="C22" s="2" t="s">
        <v>32</v>
      </c>
      <c r="D22" s="3">
        <v>67</v>
      </c>
      <c r="E22" s="2" t="s">
        <v>14</v>
      </c>
    </row>
    <row r="23" spans="1:5" x14ac:dyDescent="0.25">
      <c r="A23" s="1">
        <v>45793</v>
      </c>
      <c r="B23" s="2" t="s">
        <v>5</v>
      </c>
      <c r="C23" s="2" t="s">
        <v>33</v>
      </c>
      <c r="D23" s="3">
        <v>23.5</v>
      </c>
      <c r="E23" s="2" t="s">
        <v>15</v>
      </c>
    </row>
    <row r="24" spans="1:5" x14ac:dyDescent="0.25">
      <c r="A24" s="1">
        <v>45824</v>
      </c>
      <c r="B24" s="2" t="s">
        <v>6</v>
      </c>
      <c r="C24" s="2" t="s">
        <v>34</v>
      </c>
      <c r="D24" s="3">
        <v>55</v>
      </c>
      <c r="E24" s="2" t="s">
        <v>14</v>
      </c>
    </row>
    <row r="25" spans="1:5" x14ac:dyDescent="0.25">
      <c r="A25" s="1">
        <v>45825</v>
      </c>
      <c r="B25" s="2" t="s">
        <v>18</v>
      </c>
      <c r="C25" s="2" t="s">
        <v>35</v>
      </c>
      <c r="D25" s="3">
        <v>35</v>
      </c>
      <c r="E25" s="2" t="s">
        <v>15</v>
      </c>
    </row>
    <row r="26" spans="1:5" x14ac:dyDescent="0.25">
      <c r="A26" s="1">
        <v>45855</v>
      </c>
      <c r="B26" s="2" t="s">
        <v>7</v>
      </c>
      <c r="C26" s="2" t="s">
        <v>36</v>
      </c>
      <c r="D26" s="3">
        <v>9.99</v>
      </c>
      <c r="E26" s="2" t="s">
        <v>14</v>
      </c>
    </row>
  </sheetData>
  <conditionalFormatting sqref="K1:K1048576">
    <cfRule type="cellIs" dxfId="10" priority="2" operator="equal">
      <formula>"OK"</formula>
    </cfRule>
    <cfRule type="cellIs" dxfId="9" priority="3" operator="equal">
      <formula>"Over Budget"</formula>
    </cfRule>
  </conditionalFormatting>
  <conditionalFormatting sqref="J1:J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dataValidations count="1">
    <dataValidation type="list" allowBlank="1" showInputMessage="1" showErrorMessage="1" sqref="B1:B1048576 G1:G1048576" xr:uid="{E19C680D-8C57-45F7-8B98-4CF29A106AB6}">
      <formula1>"Food,Transport,Utilities,Entertainment,Shopping,Other"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9EAAA-E723-48FD-932E-5A786D667042}">
  <dimension ref="A1:H41"/>
  <sheetViews>
    <sheetView tabSelected="1" workbookViewId="0">
      <selection activeCell="H16" sqref="H16"/>
    </sheetView>
  </sheetViews>
  <sheetFormatPr defaultRowHeight="15" x14ac:dyDescent="0.25"/>
  <cols>
    <col min="1" max="1" width="35.5703125" style="2" bestFit="1" customWidth="1"/>
    <col min="2" max="2" width="9.28515625" style="2" bestFit="1" customWidth="1"/>
    <col min="3" max="3" width="22.42578125" style="2" bestFit="1" customWidth="1"/>
    <col min="4" max="4" width="10.42578125" style="2" bestFit="1" customWidth="1"/>
    <col min="5" max="5" width="22.28515625" style="2" bestFit="1" customWidth="1"/>
    <col min="6" max="6" width="12" style="2" bestFit="1" customWidth="1"/>
    <col min="7" max="7" width="21.42578125" style="2" bestFit="1" customWidth="1"/>
  </cols>
  <sheetData>
    <row r="1" spans="1:8" ht="23.25" x14ac:dyDescent="0.35">
      <c r="A1" s="9" t="s">
        <v>41</v>
      </c>
      <c r="B1" s="9"/>
      <c r="C1" s="9"/>
      <c r="D1" s="9"/>
      <c r="E1" s="9"/>
      <c r="F1" s="9"/>
      <c r="G1" s="9"/>
      <c r="H1" s="9"/>
    </row>
    <row r="2" spans="1:8" x14ac:dyDescent="0.25">
      <c r="A2" s="10" t="s">
        <v>42</v>
      </c>
      <c r="B2" s="10"/>
      <c r="C2" s="10"/>
      <c r="D2" s="10"/>
      <c r="E2" s="10"/>
      <c r="F2" s="10"/>
      <c r="G2" s="10"/>
      <c r="H2" s="10"/>
    </row>
    <row r="4" spans="1:8" x14ac:dyDescent="0.25">
      <c r="A4" s="11" t="s">
        <v>43</v>
      </c>
      <c r="C4" s="11" t="s">
        <v>38</v>
      </c>
      <c r="E4" s="11" t="s">
        <v>39</v>
      </c>
      <c r="G4" s="14" t="s">
        <v>44</v>
      </c>
    </row>
    <row r="5" spans="1:8" ht="18.75" x14ac:dyDescent="0.3">
      <c r="A5" s="12">
        <f>SUM(Data!H:H)</f>
        <v>1250</v>
      </c>
      <c r="C5" s="13">
        <f>SUM(Data!I:I)</f>
        <v>1269.48</v>
      </c>
      <c r="E5" s="13">
        <f>SUM(Data!J:J)</f>
        <v>-19.480000000000018</v>
      </c>
      <c r="G5" s="15">
        <f>C5/A5</f>
        <v>1.015584</v>
      </c>
    </row>
    <row r="7" spans="1:8" x14ac:dyDescent="0.25">
      <c r="A7" s="14" t="s">
        <v>45</v>
      </c>
      <c r="C7" s="14" t="s">
        <v>46</v>
      </c>
      <c r="E7" s="14" t="s">
        <v>47</v>
      </c>
      <c r="G7" s="14" t="s">
        <v>48</v>
      </c>
    </row>
    <row r="8" spans="1:8" ht="18.75" x14ac:dyDescent="0.3">
      <c r="A8" s="18">
        <f>COUNTA(Data!A:A)-1</f>
        <v>25</v>
      </c>
      <c r="C8" s="16">
        <f>C5/A8</f>
        <v>50.779200000000003</v>
      </c>
      <c r="E8" s="18">
        <f>COUNTIF(Data!K:K,"Over Budget")</f>
        <v>3</v>
      </c>
      <c r="G8" s="17">
        <f>MAX(Data!D:D)</f>
        <v>175</v>
      </c>
    </row>
    <row r="10" spans="1:8" ht="15.75" x14ac:dyDescent="0.25">
      <c r="A10" s="21" t="s">
        <v>49</v>
      </c>
    </row>
    <row r="11" spans="1:8" x14ac:dyDescent="0.25">
      <c r="A11" s="20" t="s">
        <v>1</v>
      </c>
      <c r="B11" s="20" t="s">
        <v>50</v>
      </c>
      <c r="C11" s="20" t="s">
        <v>51</v>
      </c>
      <c r="D11" s="20" t="s">
        <v>39</v>
      </c>
      <c r="E11" s="20" t="s">
        <v>52</v>
      </c>
      <c r="F11" s="20" t="s">
        <v>40</v>
      </c>
    </row>
    <row r="12" spans="1:8" x14ac:dyDescent="0.25">
      <c r="A12" s="14" t="s">
        <v>5</v>
      </c>
      <c r="B12" s="22">
        <f>Data!H2</f>
        <v>400</v>
      </c>
      <c r="C12" s="22">
        <f>Data!I2</f>
        <v>307.5</v>
      </c>
      <c r="D12" s="22">
        <f>Data!J2</f>
        <v>92.5</v>
      </c>
      <c r="E12" s="23">
        <f>C12/B12</f>
        <v>0.76875000000000004</v>
      </c>
      <c r="F12" s="14" t="str">
        <f>Data!K2</f>
        <v>OK</v>
      </c>
    </row>
    <row r="13" spans="1:8" x14ac:dyDescent="0.25">
      <c r="A13" s="14" t="s">
        <v>6</v>
      </c>
      <c r="B13" s="22">
        <f>Data!H3</f>
        <v>200</v>
      </c>
      <c r="C13" s="22">
        <f>Data!I3</f>
        <v>185</v>
      </c>
      <c r="D13" s="22">
        <f>Data!J3</f>
        <v>15</v>
      </c>
      <c r="E13" s="23">
        <f>C13/B13</f>
        <v>0.92500000000000004</v>
      </c>
      <c r="F13" s="14" t="str">
        <f>Data!K3</f>
        <v>OK</v>
      </c>
    </row>
    <row r="14" spans="1:8" x14ac:dyDescent="0.25">
      <c r="A14" s="14" t="s">
        <v>8</v>
      </c>
      <c r="B14" s="22">
        <f>Data!H4</f>
        <v>150</v>
      </c>
      <c r="C14" s="22">
        <f>Data!I4</f>
        <v>227</v>
      </c>
      <c r="D14" s="22">
        <f>Data!J4</f>
        <v>-77</v>
      </c>
      <c r="E14" s="23">
        <f>C14/B14</f>
        <v>1.5133333333333334</v>
      </c>
      <c r="F14" s="14" t="str">
        <f>Data!K4</f>
        <v>Over Budget</v>
      </c>
    </row>
    <row r="15" spans="1:8" x14ac:dyDescent="0.25">
      <c r="A15" s="14" t="s">
        <v>7</v>
      </c>
      <c r="B15" s="22">
        <f>Data!H5</f>
        <v>100</v>
      </c>
      <c r="C15" s="22">
        <f>Data!I5</f>
        <v>149.98000000000002</v>
      </c>
      <c r="D15" s="22">
        <f>Data!J5</f>
        <v>-49.980000000000018</v>
      </c>
      <c r="E15" s="23">
        <f>C15/B15</f>
        <v>1.4998000000000002</v>
      </c>
      <c r="F15" s="14" t="str">
        <f>Data!K5</f>
        <v>Over Budget</v>
      </c>
    </row>
    <row r="16" spans="1:8" x14ac:dyDescent="0.25">
      <c r="A16" s="14" t="s">
        <v>17</v>
      </c>
      <c r="B16" s="22">
        <f>Data!H6</f>
        <v>300</v>
      </c>
      <c r="C16" s="22">
        <f>Data!I6</f>
        <v>331</v>
      </c>
      <c r="D16" s="22">
        <f>Data!J6</f>
        <v>-31</v>
      </c>
      <c r="E16" s="23">
        <f>C16/B16</f>
        <v>1.1033333333333333</v>
      </c>
      <c r="F16" s="14" t="str">
        <f>Data!K6</f>
        <v>Over Budget</v>
      </c>
    </row>
    <row r="17" spans="1:6" x14ac:dyDescent="0.25">
      <c r="A17" s="14" t="s">
        <v>18</v>
      </c>
      <c r="B17" s="22">
        <f>Data!H7</f>
        <v>100</v>
      </c>
      <c r="C17" s="22">
        <f>Data!I7</f>
        <v>69</v>
      </c>
      <c r="D17" s="22">
        <f>Data!J7</f>
        <v>31</v>
      </c>
      <c r="E17" s="23">
        <f>C17/B17</f>
        <v>0.69</v>
      </c>
      <c r="F17" s="14" t="str">
        <f>Data!K7</f>
        <v>OK</v>
      </c>
    </row>
    <row r="19" spans="1:6" ht="15.75" x14ac:dyDescent="0.25">
      <c r="A19" s="19" t="s">
        <v>53</v>
      </c>
    </row>
    <row r="37" spans="1:3" ht="15.75" x14ac:dyDescent="0.25">
      <c r="A37" s="21" t="s">
        <v>54</v>
      </c>
    </row>
    <row r="38" spans="1:3" x14ac:dyDescent="0.25">
      <c r="A38" s="2" t="s">
        <v>56</v>
      </c>
      <c r="B38" s="24">
        <f>ABS(E5)</f>
        <v>19.480000000000018</v>
      </c>
    </row>
    <row r="39" spans="1:3" x14ac:dyDescent="0.25">
      <c r="A39" s="2" t="s">
        <v>55</v>
      </c>
      <c r="B39" s="2" t="str">
        <f>INDEX(A12:A17, MATCH(MAX(C12:C17),C12:C17,0))</f>
        <v>Shopping</v>
      </c>
    </row>
    <row r="40" spans="1:3" x14ac:dyDescent="0.25">
      <c r="A40" s="2" t="s">
        <v>57</v>
      </c>
      <c r="B40" s="25">
        <f>COUNTA(Data!B:B)-1</f>
        <v>25</v>
      </c>
      <c r="C40" s="2" t="s">
        <v>58</v>
      </c>
    </row>
    <row r="41" spans="1:3" x14ac:dyDescent="0.25">
      <c r="A41" s="2" t="s">
        <v>59</v>
      </c>
      <c r="B41" s="3">
        <f>C8</f>
        <v>50.779200000000003</v>
      </c>
      <c r="C41" s="2" t="s">
        <v>60</v>
      </c>
    </row>
  </sheetData>
  <mergeCells count="2">
    <mergeCell ref="A1:H1"/>
    <mergeCell ref="A2:H2"/>
  </mergeCells>
  <conditionalFormatting sqref="E5">
    <cfRule type="cellIs" dxfId="8" priority="10" operator="greaterThan">
      <formula>0</formula>
    </cfRule>
    <cfRule type="cellIs" dxfId="7" priority="11" operator="lessThan">
      <formula>0</formula>
    </cfRule>
  </conditionalFormatting>
  <conditionalFormatting sqref="G5">
    <cfRule type="cellIs" dxfId="6" priority="5" operator="between">
      <formula>100%</formula>
      <formula>90%</formula>
    </cfRule>
    <cfRule type="cellIs" dxfId="5" priority="6" operator="lessThan">
      <formula>90%</formula>
    </cfRule>
    <cfRule type="cellIs" dxfId="4" priority="9" operator="greaterThan">
      <formula>100%</formula>
    </cfRule>
  </conditionalFormatting>
  <conditionalFormatting sqref="E8">
    <cfRule type="cellIs" dxfId="3" priority="4" operator="greaterThan">
      <formula>0</formula>
    </cfRule>
  </conditionalFormatting>
  <conditionalFormatting sqref="F12:F17">
    <cfRule type="cellIs" dxfId="2" priority="2" operator="equal">
      <formula>"OK"</formula>
    </cfRule>
    <cfRule type="cellIs" dxfId="1" priority="3" operator="equal">
      <formula>"Over Budget"</formula>
    </cfRule>
  </conditionalFormatting>
  <conditionalFormatting sqref="F14:F16">
    <cfRule type="cellIs" dxfId="0" priority="1" operator="equal">
      <formula>"Over Budget"</formula>
    </cfRule>
  </conditionalFormatting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A4FC6B1-C4E9-47C5-846C-2198873EF19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HeadingPairs>
  <TitlesOfParts>
    <vt:vector size="7" baseType="lpstr">
      <vt:lpstr>Data</vt:lpstr>
      <vt:lpstr>Dashboard</vt:lpstr>
      <vt:lpstr>Amount</vt:lpstr>
      <vt:lpstr>Category</vt:lpstr>
      <vt:lpstr>Date</vt:lpstr>
      <vt:lpstr>Description</vt:lpstr>
      <vt:lpstr>Payment_Method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2025-12-28T18:31:45Z</dcterms:created>
  <dcterms:modified xsi:type="dcterms:W3CDTF">2025-12-28T21:39:59Z</dcterms:modified>
</cp:coreProperties>
</file>